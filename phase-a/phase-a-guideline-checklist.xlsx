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Legenda" sheetId="1" state="visible" r:id="rId3"/>
    <sheet name="Riepilogo" sheetId="2" state="visible" r:id="rId4"/>
    <sheet name="Guideline Checklist" sheetId="3" state="visible" r:id="rId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<sst xmlns="http://schemas.openxmlformats.org/spreadsheetml/2006/main" count="568" uniqueCount="173">
  <si>
    <t xml:space="preserve">HPHP — Fase A — Guideline Evaluation Checklist</t>
  </si>
  <si>
    <t xml:space="preserve">Tool valutati: CUPweb / app ER Salute (client tool) e MioDottore (competitor tool)</t>
  </si>
  <si>
    <t xml:space="preserve">Metodologia</t>
  </si>
  <si>
    <t xml:space="preserve">Checklist basata sulle 9 categorie delle User Focus Guidelines di David Travis (www.userfocus.co.uk/resources/guidelines.html): Home page usability, Task orientation, Navigation and IA, Forms and data entry, Trust and credibility, Writing and content quality, Page layout and visual design, Search usability, Help/feedback/error tolerance.</t>
  </si>
  <si>
    <t xml:space="preserve">Questo file contiene un sottoinsieme rappresentativo di 90 guideline (10 per categoria) riformulate in italiano, su un totale ufficiale di 247. Per la checklist completa in inglese scaricabile come foglio Excel, fate riferimento al link ufficiale sopra indicato, come suggerito dalla card del corso.</t>
  </si>
  <si>
    <t xml:space="preserve">Legenda dei giudizi</t>
  </si>
  <si>
    <t xml:space="preserve">Conforme — il sito/app rispetta pienamente la guideline (evidenza diretta osservata)</t>
  </si>
  <si>
    <t xml:space="preserve">Parzialmente conforme — rispetta la guideline solo in parte, o solo in alcuni punti del sito</t>
  </si>
  <si>
    <t xml:space="preserve">Non conforme — la guideline non è rispettata (evidenza diretta osservata o segnalata da utenti reali)</t>
  </si>
  <si>
    <t xml:space="preserve">Non verificato — richiede l'accesso autenticato (SPID/CIE/account) che il team non ha potuto testare in questa fase; da verificare nello User Testing con soggetti reali</t>
  </si>
  <si>
    <t xml:space="preserve">N/A — la guideline non è applicabile al tipo di sito/task in oggetto</t>
  </si>
  <si>
    <t xml:space="preserve">Fonti</t>
  </si>
  <si>
    <t xml:space="preserve">Ispezione diretta di www.cupweb.it e www.miodottore.it (luglio 2026); recensioni pubbliche verificabili delle app ER Salute e MioDottore Prenota una visita su Google Play e Apple App Store; dichiarazione di accessibilità pubblicata dal cliente.</t>
  </si>
  <si>
    <t xml:space="preserve">Nota</t>
  </si>
  <si>
    <t xml:space="preserve">Giustificare sempre i giudizi diversi da 'Conforme', come richiesto dalla card del corso (colonna Note/Evidenza). Per i problemi più gravi, allegare screenshot nel materiale supplementare.</t>
  </si>
  <si>
    <t xml:space="preserve">Riepilogo per categoria</t>
  </si>
  <si>
    <t xml:space="preserve">Categoria</t>
  </si>
  <si>
    <t xml:space="preserve">CUPweb: Conforme</t>
  </si>
  <si>
    <t xml:space="preserve">CUPweb: Parziale</t>
  </si>
  <si>
    <t xml:space="preserve">CUPweb: Non conforme</t>
  </si>
  <si>
    <t xml:space="preserve">MioDottore: Conforme</t>
  </si>
  <si>
    <t xml:space="preserve">MioDottore: Parziale</t>
  </si>
  <si>
    <t xml:space="preserve">MioDottore: Non conforme</t>
  </si>
  <si>
    <t xml:space="preserve">Home page usability</t>
  </si>
  <si>
    <t xml:space="preserve">Task orientation</t>
  </si>
  <si>
    <t xml:space="preserve">Navigation and IA</t>
  </si>
  <si>
    <t xml:space="preserve">Forms and data entry</t>
  </si>
  <si>
    <t xml:space="preserve">Trust and credibility</t>
  </si>
  <si>
    <t xml:space="preserve">Writing and content quality</t>
  </si>
  <si>
    <t xml:space="preserve">Page layout and visual design</t>
  </si>
  <si>
    <t xml:space="preserve">Search usability</t>
  </si>
  <si>
    <t xml:space="preserve">Help, feedback and error tolerance</t>
  </si>
  <si>
    <t xml:space="preserve">TOTALE</t>
  </si>
  <si>
    <t xml:space="preserve">#</t>
  </si>
  <si>
    <t xml:space="preserve">Guideline</t>
  </si>
  <si>
    <t xml:space="preserve">CUPweb — Giudizio</t>
  </si>
  <si>
    <t xml:space="preserve">CUPweb — Note/Evidenza</t>
  </si>
  <si>
    <t xml:space="preserve">MioDottore — Giudizio</t>
  </si>
  <si>
    <t xml:space="preserve">MioDottore — Note/Evidenza</t>
  </si>
  <si>
    <t xml:space="preserve">La pagina iniziale comunica chiaramente cosa offre il sito e a chi si rivolge (value proposition)</t>
  </si>
  <si>
    <t xml:space="preserve">Parzialmente conforme</t>
  </si>
  <si>
    <t xml:space="preserve">La home comunica lo scopo ma non un vero value proposition orientato all'utente anziano; testo denso, nessuna spiegazione 'a chi serve'</t>
  </si>
  <si>
    <t xml:space="preserve">Conforme</t>
  </si>
  <si>
    <t xml:space="preserve">Value proposition chiara: 'Cerca tra 200.000 dottori... prenota ora una visita online'</t>
  </si>
  <si>
    <t xml:space="preserve">Sono presenti contenuti reali del sito, non immagini decorative generiche</t>
  </si>
  <si>
    <t xml:space="preserve">Non verificato</t>
  </si>
  <si>
    <t xml:space="preserve">Elemento non ispezionabile senza credenziali SPID/CIE reali; da verificare nello User Testing</t>
  </si>
  <si>
    <t xml:space="preserve">Elemento non ispezionabile in profondità senza un account attivo; da verificare nello User Testing</t>
  </si>
  <si>
    <t xml:space="preserve">Le aree di navigazione principali sono visivamente distinte da spazi pubblicitari/promozionali</t>
  </si>
  <si>
    <t xml:space="preserve">Non conforme</t>
  </si>
  <si>
    <t xml:space="preserve">I link 'Disdici/Prenota/Paga/Informazioni' sono indistinguibili graficamente da normali link testuali</t>
  </si>
  <si>
    <t xml:space="preserve">Le voci di menu sono ordinate secondo la logica dei compiti dell'utente, non della struttura interna del cliente</t>
  </si>
  <si>
    <t xml:space="preserve">È presente una casella di ricerca visibile, se il sito è ampio</t>
  </si>
  <si>
    <t xml:space="preserve">Le categorie principali di servizio sono visibili e riconoscibili a colpo d'occhio</t>
  </si>
  <si>
    <t xml:space="preserve">Le macro-categorie di servizio (Prenota, Disdici, Paga) sono elencate in home</t>
  </si>
  <si>
    <t xml:space="preserve">Il contenuto utile è raggiungibile entro un click dalla home</t>
  </si>
  <si>
    <t xml:space="preserve">La pagina iniziale mostra esempi concreti/reali di cosa si può fare sul sito</t>
  </si>
  <si>
    <t xml:space="preserve">Recensioni reali di pazienti mostrate direttamente in home page</t>
  </si>
  <si>
    <t xml:space="preserve">Le etichette dei link iniziano con la parola chiave più importante</t>
  </si>
  <si>
    <t xml:space="preserve">È presente una sintesi di novità/aggiornamenti recenti, con archivio</t>
  </si>
  <si>
    <t xml:space="preserve">Il sito è privo di elementi distraenti non necessari al completamento del task</t>
  </si>
  <si>
    <t xml:space="preserve">Non c'è uso eccessivo di animazioni, popup o elementi che rallentano il compito</t>
  </si>
  <si>
    <t xml:space="preserve">Non viene richiesta una registrazione non necessaria per accedere a informazioni di base</t>
  </si>
  <si>
    <t xml:space="preserve">L'autenticazione SPID/CIE è richiesta per quasi ogni azione, anche solo esplorativa</t>
  </si>
  <si>
    <t xml:space="preserve">La ricerca di uno specialista non richiede registrazione preventiva</t>
  </si>
  <si>
    <t xml:space="preserve">Il percorso critico (es. prenotare una visita) è chiaro e senza deviazioni</t>
  </si>
  <si>
    <t xml:space="preserve">Il percorso di prenotazione è lineare ma richiede scelta preliminare SSN/Libera Professione non spiegata</t>
  </si>
  <si>
    <t xml:space="preserve">Percorso di ricerca-prenotazione lineare: categoria, città, disponibilità</t>
  </si>
  <si>
    <t xml:space="preserve">Le informazioni sono presentate in ordine logico e naturale</t>
  </si>
  <si>
    <t xml:space="preserve">Il numero di passaggi/schermate richiesti per completare un task è ridotto al minimo</t>
  </si>
  <si>
    <t xml:space="preserve">Il sito richiede una quantità minima di scrolling e clic</t>
  </si>
  <si>
    <t xml:space="preserve">Il sito anticipa/suggerisce la probabile prossima azione dell'utente</t>
  </si>
  <si>
    <t xml:space="preserve">Gli utenti possono facilmente interrompere e riprendere un task in corso</t>
  </si>
  <si>
    <t xml:space="preserve">Richiede sessione autenticata per verificare interruzione/ripresa task</t>
  </si>
  <si>
    <t xml:space="preserve">Il sistema conferma chiaramente il completamento con successo di un task</t>
  </si>
  <si>
    <t xml:space="preserve">È sempre chiaro all'utente 'dove si trova' all'interno del sito (breadcrumb o equivalente)</t>
  </si>
  <si>
    <t xml:space="preserve">La struttura di navigazione è coerente in tutte le pagine</t>
  </si>
  <si>
    <t xml:space="preserve">I link cambiano colore/stato una volta visitati o attivi</t>
  </si>
  <si>
    <t xml:space="preserve">Non ci sono link rotti o che portano a pagine non pertinenti</t>
  </si>
  <si>
    <t xml:space="preserve">Non riscontrati link rotti nell'ispezione pubblica, ma copertura limitata alle pagine non autenticate</t>
  </si>
  <si>
    <t xml:space="preserve">Il numero di voci di menu di primo livello è gestibile (non sovraccarico cognitivo)</t>
  </si>
  <si>
    <t xml:space="preserve">È possibile tornare alla home page da qualunque pagina con un click</t>
  </si>
  <si>
    <t xml:space="preserve">La struttura dei menu riflette il modello mentale dell'utente, non l'organizzazione interna del cliente</t>
  </si>
  <si>
    <t xml:space="preserve">La struttura riflette l'organizzazione dei sistemi informativi regionali (FSE, CUPweb, pagamenti) più che il modello mentale dell'utente</t>
  </si>
  <si>
    <t xml:space="preserve">Filtri e mappa riflettono il modo in cui un utente pensa alla ricerca di un medico</t>
  </si>
  <si>
    <t xml:space="preserve">Il passaggio tra sotto-sistemi/domini diversi dello stesso servizio è comunicato chiaramente</t>
  </si>
  <si>
    <t xml:space="preserve">Il passaggio tra cupweb.it, pagonlinesanita.it e fascicolo-sanitario.it non è preceduto da alcun avviso</t>
  </si>
  <si>
    <t xml:space="preserve">Un solo dominio coerente per tutto il servizio, nessun salto percepito di fiducia</t>
  </si>
  <si>
    <t xml:space="preserve">È disponibile una mappa del sito o equivalente per siti complessi</t>
  </si>
  <si>
    <t xml:space="preserve">Le etichette di navigazione sono comprensibili senza gergo tecnico</t>
  </si>
  <si>
    <t xml:space="preserve">I campi obbligatori sono chiaramente distinti da quelli facoltativi</t>
  </si>
  <si>
    <t xml:space="preserve">Il formato atteso dei dati è indicato prima dell'errore (es. data, codice fiscale)</t>
  </si>
  <si>
    <t xml:space="preserve">Gli errori di compilazione sono segnalati in modo specifico e vicino al campo interessato</t>
  </si>
  <si>
    <t xml:space="preserve">I dati già inseriti non vengono persi in caso di errore di invio</t>
  </si>
  <si>
    <t xml:space="preserve">Il modulo consente il salvataggio/ripresa in caso di sessioni lunghe</t>
  </si>
  <si>
    <t xml:space="preserve">Le etichette dei campi restano visibili durante la digitazione</t>
  </si>
  <si>
    <t xml:space="preserve">Non vengono richiesti dati non necessari al completamento del task</t>
  </si>
  <si>
    <t xml:space="preserve">È chiaro quali credenziali/documenti servono prima di iniziare la compilazione</t>
  </si>
  <si>
    <t xml:space="preserve">Le modalità di accesso sono spiegate, ma con terminologia tecnica (SPID/CIE/CNS) non tradotta in linguaggio semplice</t>
  </si>
  <si>
    <t xml:space="preserve">Il sito chiarisce da subito quali informazioni servono per la prenotazione (nome, contatto, eventuale assicurazione)</t>
  </si>
  <si>
    <t xml:space="preserve">Il sistema fornisce conferma esplicita dell'invio riuscito</t>
  </si>
  <si>
    <t xml:space="preserve">Richiede completamento di una prenotazione autenticata per verifica diretta</t>
  </si>
  <si>
    <t xml:space="preserve">Richiede completamento reale di una prenotazione per verifica diretta</t>
  </si>
  <si>
    <t xml:space="preserve">I pulsanti di azione (conferma/annulla) sono chiaramente distinguibili tra loro</t>
  </si>
  <si>
    <t xml:space="preserve">Il sito comunica chiaramente chi è il gestore/proprietario del servizio</t>
  </si>
  <si>
    <t xml:space="preserve">Il logo del Servizio Sanitario Regionale e il riferimento a Lepida ScpA come realizzatore sono presenti in home</t>
  </si>
  <si>
    <t xml:space="preserve">Sono presenti informazioni di contatto verificabili (telefono, indirizzo)</t>
  </si>
  <si>
    <t xml:space="preserve">Il sito utilizza connessioni sicure (HTTPS) in modo coerente su tutte le pagine</t>
  </si>
  <si>
    <t xml:space="preserve">L'aspetto grafico è professionale e coerente con l'identità dichiarata</t>
  </si>
  <si>
    <t xml:space="preserve">I passaggi tra domini/sottosistemi diversi sono percepibili come parte dello stesso ente</t>
  </si>
  <si>
    <t xml:space="preserve">Il passaggio tra domini differenti è il problema di fiducia più rilevante rilevato nell'assessment</t>
  </si>
  <si>
    <t xml:space="preserve">Tutti i touchpoint restano sotto lo stesso dominio/brand</t>
  </si>
  <si>
    <t xml:space="preserve">Le informazioni sono aggiornate e datate quando rilevante</t>
  </si>
  <si>
    <t xml:space="preserve">La privacy policy è facilmente reperibile e comprensibile</t>
  </si>
  <si>
    <t xml:space="preserve">Link a informativa privacy presente in home page</t>
  </si>
  <si>
    <t xml:space="preserve">Non sono presenti pubblicità invasive o ingannevoli</t>
  </si>
  <si>
    <t xml:space="preserve">Le recensioni/testimonianze, se presenti, sono verificabili e non percepite come manipolate</t>
  </si>
  <si>
    <t xml:space="preserve">Recensioni moderate secondo linee guida della piattaforma: alcuni utenti pubblici mettono in dubbio la loro genuinità</t>
  </si>
  <si>
    <t xml:space="preserve">Il sito non richiede più dati personali di quanto giustificato dal servizio</t>
  </si>
  <si>
    <t xml:space="preserve">Il linguaggio usato è semplice e adatto a un pubblico non esperto</t>
  </si>
  <si>
    <t xml:space="preserve">Linguaggio colloquiale e diretto, orientato al consumatore finale</t>
  </si>
  <si>
    <t xml:space="preserve">I termini tecnici sono spiegati o accompagnati da un glossario/tooltip</t>
  </si>
  <si>
    <t xml:space="preserve">Termini come 'CNS', 'impegnativa dematerializzata' non hanno spiegazioni contestuali in home</t>
  </si>
  <si>
    <t xml:space="preserve">I testi sono scritti in forma attiva e diretta</t>
  </si>
  <si>
    <t xml:space="preserve">I titoli di pagina riflettono accuratamente il contenuto</t>
  </si>
  <si>
    <t xml:space="preserve">Le istruzioni sono scritte come sequenza di passaggi numerati, quando utile</t>
  </si>
  <si>
    <t xml:space="preserve">Il tono è coerente in tutto il sito</t>
  </si>
  <si>
    <t xml:space="preserve">I contenuti sono liberi da errori grammaticali/ortografici</t>
  </si>
  <si>
    <t xml:space="preserve">Le informazioni più importanti sono nella parte alta della pagina</t>
  </si>
  <si>
    <t xml:space="preserve">La home ha una struttura a blocchi ma con paragrafi piuttosto densi</t>
  </si>
  <si>
    <t xml:space="preserve">I paragrafi sono brevi e facilmente scannerizzabili</t>
  </si>
  <si>
    <t xml:space="preserve">Le abbreviazioni/sigle sono sciolte alla prima occorrenza</t>
  </si>
  <si>
    <t xml:space="preserve">Il contrasto testo/sfondo è sufficiente per una buona leggibilità</t>
  </si>
  <si>
    <t xml:space="preserve">La dimensione del testo è adeguata e ridimensionabile dall'utente</t>
  </si>
  <si>
    <t xml:space="preserve">Gli elementi interattivi (bottoni, link) sono visivamente distinguibili dal testo statico</t>
  </si>
  <si>
    <t xml:space="preserve">La gerarchia visiva guida l'occhio verso le azioni più importanti</t>
  </si>
  <si>
    <t xml:space="preserve">Nessuna gerarchia visiva chiara: elenco puntato di link con peso grafico uniforme</t>
  </si>
  <si>
    <t xml:space="preserve">Gerarchia visiva chiara: card, filtri, call-to-action distinti</t>
  </si>
  <si>
    <t xml:space="preserve">Le icone sono accompagnate da etichette testuali quando il significato non è universale</t>
  </si>
  <si>
    <t xml:space="preserve">Nessuna icona associata alle azioni principali (Prenota, Disdici, Paga)</t>
  </si>
  <si>
    <t xml:space="preserve">Icone e fotografie dei professionisti accompagnano sempre le azioni principali</t>
  </si>
  <si>
    <t xml:space="preserve">Lo spazio bianco è usato per separare gruppi di contenuto correlati</t>
  </si>
  <si>
    <t xml:space="preserve">Il layout è coerente tra le diverse pagine del sito</t>
  </si>
  <si>
    <t xml:space="preserve">Le immagini/grafiche non sono confuse con banner pubblicitari</t>
  </si>
  <si>
    <t xml:space="preserve">Il sito è utilizzabile anche a dimensioni di finestra/schermo ridotte</t>
  </si>
  <si>
    <t xml:space="preserve">Gli elementi cliccabili hanno un'area di tocco sufficientemente ampia su mobile</t>
  </si>
  <si>
    <t xml:space="preserve">La casella di ricerca è posizionata dove l'utente se l'aspetta (in alto)</t>
  </si>
  <si>
    <t xml:space="preserve">N/A</t>
  </si>
  <si>
    <t xml:space="preserve">Il sito non presenta una funzione di ricerca testuale libera</t>
  </si>
  <si>
    <t xml:space="preserve">Barra di ricerca posizionata in alto, centrale nell'esperienza</t>
  </si>
  <si>
    <t xml:space="preserve">È chiaramente etichettata (non ambigua se ce n'è più di una)</t>
  </si>
  <si>
    <t xml:space="preserve">Il sistema supporta sia la ricerca sia la navigazione a menu</t>
  </si>
  <si>
    <t xml:space="preserve">I risultati di ricerca mostrano informazioni utili di contesto (data, tipo)</t>
  </si>
  <si>
    <t xml:space="preserve">Il motore di ricerca tollera errori di battitura/plurali</t>
  </si>
  <si>
    <t xml:space="preserve">Tolleranza a errori di battitura non testata direttamente in questa fase</t>
  </si>
  <si>
    <t xml:space="preserve">Lo scope della ricerca è esplicito (tutto il sito o una sezione)</t>
  </si>
  <si>
    <t xml:space="preserve">La ricerca fornisce risultati utili anche senza corrispondenza esatta</t>
  </si>
  <si>
    <t xml:space="preserve">La ricerca copre l'intero sito, non solo una porzione</t>
  </si>
  <si>
    <t xml:space="preserve">È facile trovare assistenza nel momento e nella forma giusta</t>
  </si>
  <si>
    <t xml:space="preserve">Le istruzioni FAQ/Help sono passo-passo per i task più importanti</t>
  </si>
  <si>
    <t xml:space="preserve">Presente una sezione 'Guida ai servizi online', ma non integrata contestualmente nel flusso</t>
  </si>
  <si>
    <t xml:space="preserve">I messaggi di errore spiegano chiaramente cosa fare per risolvere il problema</t>
  </si>
  <si>
    <t xml:space="preserve">Il sistema chiede conferma prima di azioni potenzialmente rischiose/irreversibili</t>
  </si>
  <si>
    <t xml:space="preserve">Sono forniti indicatori di avanzamento per processi lunghi (es. multi-step)</t>
  </si>
  <si>
    <t xml:space="preserve">È disponibile un canale umano di assistenza (telefono/chat) facilmente raggiungibile</t>
  </si>
  <si>
    <t xml:space="preserve">Numero verde e contatti del call center regionale sono indicati</t>
  </si>
  <si>
    <t xml:space="preserve">Assistenza principalmente tramite messaggistica in-app; canale telefonico diretto meno evidente</t>
  </si>
  <si>
    <t xml:space="preserve">Il sito fornisce feedback immediato dopo ogni azione dell'utente</t>
  </si>
  <si>
    <t xml:space="preserve">Conferme e promemoria automatici delle prenotazioni</t>
  </si>
  <si>
    <t xml:space="preserve">Gli errori da input scorretto permettono comunque di raggiungere l'obiettivo con correzioni minime</t>
  </si>
  <si>
    <t xml:space="preserve">Le pagine di errore (es. 404) offrono link utili per proseguire</t>
  </si>
  <si>
    <t xml:space="preserve">Pagina 404 non ispezionata direttamente in questa fase</t>
  </si>
  <si>
    <t xml:space="preserve">L'utente non deve consultare manuali esterni per usare il sito</t>
  </si>
</sst>
</file>

<file path=xl/styles.xml><?xml version="1.0" encoding="utf-8"?>
<styleSheet xmlns="http://schemas.openxmlformats.org/spreadsheetml/2006/main">
  <numFmts count="2">
    <numFmt numFmtId="164" formatCode="General"/>
    <numFmt numFmtId="165" formatCode="General"/>
  </numFmts>
  <fonts count="12">
    <font>
      <sz val="11"/>
      <color theme="1"/>
      <name val="Calibri"/>
      <family val="2"/>
      <charset val="1"/>
    </font>
    <font>
      <sz val="10"/>
      <name val="Arial"/>
      <family val="0"/>
    </font>
    <font>
      <sz val="10"/>
      <name val="Arial"/>
      <family val="0"/>
    </font>
    <font>
      <sz val="10"/>
      <name val="Arial"/>
      <family val="0"/>
    </font>
    <font>
      <b val="true"/>
      <sz val="16"/>
      <color rgb="FF8A6D3B"/>
      <name val="Arial"/>
      <family val="0"/>
      <charset val="1"/>
    </font>
    <font>
      <sz val="11"/>
      <color rgb="FF000000"/>
      <name val="Arial"/>
      <family val="0"/>
      <charset val="1"/>
    </font>
    <font>
      <b val="true"/>
      <sz val="13"/>
      <color rgb="FF000000"/>
      <name val="Arial"/>
      <family val="0"/>
      <charset val="1"/>
    </font>
    <font>
      <b val="true"/>
      <sz val="14"/>
      <color rgb="FF8A6D3B"/>
      <name val="Arial"/>
      <family val="0"/>
      <charset val="1"/>
    </font>
    <font>
      <b val="true"/>
      <sz val="10"/>
      <color rgb="FFFFFFFF"/>
      <name val="Arial"/>
      <family val="0"/>
      <charset val="1"/>
    </font>
    <font>
      <b val="true"/>
      <sz val="10"/>
      <name val="Arial"/>
      <family val="0"/>
      <charset val="1"/>
    </font>
    <font>
      <sz val="10"/>
      <name val="Arial"/>
      <family val="0"/>
      <charset val="1"/>
    </font>
    <font>
      <b val="true"/>
      <sz val="11"/>
      <color rgb="FFFFFFFF"/>
      <name val="Arial"/>
      <family val="0"/>
      <charset val="1"/>
    </font>
  </fonts>
  <fills count="9">
    <fill>
      <patternFill patternType="none"/>
    </fill>
    <fill>
      <patternFill patternType="gray125"/>
    </fill>
    <fill>
      <patternFill patternType="solid">
        <fgColor rgb="FF1F2937"/>
        <bgColor rgb="FF333300"/>
      </patternFill>
    </fill>
    <fill>
      <patternFill patternType="solid">
        <fgColor rgb="FF8A6D3B"/>
        <bgColor rgb="FF808080"/>
      </patternFill>
    </fill>
    <fill>
      <patternFill patternType="solid">
        <fgColor rgb="FFFFF2CC"/>
        <bgColor rgb="FFE8E8E8"/>
      </patternFill>
    </fill>
    <fill>
      <patternFill patternType="solid">
        <fgColor rgb="FFD9EAD3"/>
        <bgColor rgb="FFE8E8E8"/>
      </patternFill>
    </fill>
    <fill>
      <patternFill patternType="solid">
        <fgColor rgb="FFE8E8E8"/>
        <bgColor rgb="FFD9EAD3"/>
      </patternFill>
    </fill>
    <fill>
      <patternFill patternType="solid">
        <fgColor rgb="FFF4CCCC"/>
        <bgColor rgb="FFD9D9D9"/>
      </patternFill>
    </fill>
    <fill>
      <patternFill patternType="solid">
        <fgColor rgb="FFFFFFFF"/>
        <bgColor rgb="FFFFF2CC"/>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true" applyProtection="false">
      <alignment horizontal="center" vertical="center" textRotation="0" wrapText="tru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5" fontId="10" fillId="0" borderId="0" xfId="0" applyFont="true" applyBorder="false" applyAlignment="true" applyProtection="false">
      <alignment horizontal="center" vertical="bottom" textRotation="0" wrapText="false" indent="0" shrinkToFit="false"/>
      <protection locked="true" hidden="false"/>
    </xf>
    <xf numFmtId="165" fontId="9" fillId="0" borderId="0" xfId="0" applyFont="true" applyBorder="false" applyAlignment="true" applyProtection="false">
      <alignment horizontal="center" vertical="bottom" textRotation="0" wrapText="false" indent="0" shrinkToFit="false"/>
      <protection locked="true" hidden="false"/>
    </xf>
    <xf numFmtId="164" fontId="11" fillId="3" borderId="0" xfId="0" applyFont="true" applyBorder="false" applyAlignment="true" applyProtection="false">
      <alignment horizontal="center" vertical="center" textRotation="0" wrapText="tru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4" fontId="10" fillId="4" borderId="1" xfId="0" applyFont="true" applyBorder="true" applyAlignment="true" applyProtection="false">
      <alignment horizontal="general" vertical="top" textRotation="0" wrapText="true" indent="0" shrinkToFit="false"/>
      <protection locked="true" hidden="false"/>
    </xf>
    <xf numFmtId="164" fontId="10" fillId="5" borderId="1" xfId="0" applyFont="true" applyBorder="true" applyAlignment="true" applyProtection="false">
      <alignment horizontal="general" vertical="top" textRotation="0" wrapText="true" indent="0" shrinkToFit="false"/>
      <protection locked="true" hidden="false"/>
    </xf>
    <xf numFmtId="164" fontId="10" fillId="6" borderId="1" xfId="0" applyFont="true" applyBorder="true" applyAlignment="true" applyProtection="false">
      <alignment horizontal="general" vertical="top" textRotation="0" wrapText="true" indent="0" shrinkToFit="false"/>
      <protection locked="true" hidden="false"/>
    </xf>
    <xf numFmtId="164" fontId="10" fillId="7" borderId="1" xfId="0" applyFont="true" applyBorder="true" applyAlignment="true" applyProtection="false">
      <alignment horizontal="general" vertical="top" textRotation="0" wrapText="true" indent="0" shrinkToFit="false"/>
      <protection locked="true" hidden="false"/>
    </xf>
    <xf numFmtId="164" fontId="10" fillId="8"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A6D3B"/>
      <rgbColor rgb="FF800080"/>
      <rgbColor rgb="FF008080"/>
      <rgbColor rgb="FFC0C0C0"/>
      <rgbColor rgb="FF808080"/>
      <rgbColor rgb="FF9999FF"/>
      <rgbColor rgb="FF993366"/>
      <rgbColor rgb="FFFFF2CC"/>
      <rgbColor rgb="FFE8E8E8"/>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D9EAD3"/>
      <rgbColor rgb="FFFFFF99"/>
      <rgbColor rgb="FF99CCFF"/>
      <rgbColor rgb="FFFF99CC"/>
      <rgbColor rgb="FFCC99FF"/>
      <rgbColor rgb="FFF4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1F293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00"/>
  </cols>
  <sheetData>
    <row r="1" customFormat="false" ht="19.7" hidden="false" customHeight="false" outlineLevel="0" collapsed="false">
      <c r="A1" s="1" t="s">
        <v>0</v>
      </c>
    </row>
    <row r="2" customFormat="false" ht="15" hidden="false" customHeight="false" outlineLevel="0" collapsed="false">
      <c r="A2" s="2" t="s">
        <v>1</v>
      </c>
    </row>
    <row r="4" customFormat="false" ht="16.15" hidden="false" customHeight="false" outlineLevel="0" collapsed="false">
      <c r="A4" s="3" t="s">
        <v>2</v>
      </c>
    </row>
    <row r="5" customFormat="false" ht="52.2" hidden="false" customHeight="false" outlineLevel="0" collapsed="false">
      <c r="A5" s="2" t="s">
        <v>3</v>
      </c>
    </row>
    <row r="6" customFormat="false" ht="39.55" hidden="false" customHeight="false" outlineLevel="0" collapsed="false">
      <c r="A6" s="2" t="s">
        <v>4</v>
      </c>
    </row>
    <row r="8" customFormat="false" ht="16.15" hidden="false" customHeight="false" outlineLevel="0" collapsed="false">
      <c r="A8" s="3" t="s">
        <v>5</v>
      </c>
    </row>
    <row r="9" customFormat="false" ht="15" hidden="false" customHeight="false" outlineLevel="0" collapsed="false">
      <c r="A9" s="2" t="s">
        <v>6</v>
      </c>
    </row>
    <row r="10" customFormat="false" ht="15" hidden="false" customHeight="false" outlineLevel="0" collapsed="false">
      <c r="A10" s="2" t="s">
        <v>7</v>
      </c>
    </row>
    <row r="11" customFormat="false" ht="15" hidden="false" customHeight="false" outlineLevel="0" collapsed="false">
      <c r="A11" s="2" t="s">
        <v>8</v>
      </c>
    </row>
    <row r="12" customFormat="false" ht="26.85" hidden="false" customHeight="false" outlineLevel="0" collapsed="false">
      <c r="A12" s="2" t="s">
        <v>9</v>
      </c>
    </row>
    <row r="13" customFormat="false" ht="15" hidden="false" customHeight="false" outlineLevel="0" collapsed="false">
      <c r="A13" s="2" t="s">
        <v>10</v>
      </c>
    </row>
    <row r="15" customFormat="false" ht="16.15" hidden="false" customHeight="false" outlineLevel="0" collapsed="false">
      <c r="A15" s="3" t="s">
        <v>11</v>
      </c>
    </row>
    <row r="16" customFormat="false" ht="39.55" hidden="false" customHeight="false" outlineLevel="0" collapsed="false">
      <c r="A16" s="2" t="s">
        <v>12</v>
      </c>
    </row>
    <row r="18" customFormat="false" ht="16.15" hidden="false" customHeight="false" outlineLevel="0" collapsed="false">
      <c r="A18" s="3" t="s">
        <v>13</v>
      </c>
    </row>
    <row r="19" customFormat="false" ht="26.85" hidden="false" customHeight="false" outlineLevel="0" collapsed="false">
      <c r="A19" s="2" t="s">
        <v>14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7" min="2" style="0" width="16"/>
  </cols>
  <sheetData>
    <row r="1" customFormat="false" ht="17.35" hidden="false" customHeight="false" outlineLevel="0" collapsed="false">
      <c r="A1" s="4" t="s">
        <v>15</v>
      </c>
    </row>
    <row r="3" customFormat="false" ht="30" hidden="false" customHeight="true" outlineLevel="0" collapsed="false">
      <c r="A3" s="5" t="s">
        <v>16</v>
      </c>
      <c r="B3" s="5" t="s">
        <v>17</v>
      </c>
      <c r="C3" s="5" t="s">
        <v>18</v>
      </c>
      <c r="D3" s="5" t="s">
        <v>19</v>
      </c>
      <c r="E3" s="5" t="s">
        <v>20</v>
      </c>
      <c r="F3" s="5" t="s">
        <v>21</v>
      </c>
      <c r="G3" s="5" t="s">
        <v>22</v>
      </c>
    </row>
    <row r="4" customFormat="false" ht="15" hidden="false" customHeight="false" outlineLevel="0" collapsed="false">
      <c r="A4" s="6" t="s">
        <v>23</v>
      </c>
      <c r="B4" s="7" t="n">
        <f aca="false">COUNTIF('Guideline Checklist'!D2:D11,"Conforme")</f>
        <v>1</v>
      </c>
      <c r="C4" s="7" t="n">
        <f aca="false">COUNTIF('Guideline Checklist'!D2:D11,"Parzialmente conforme")</f>
        <v>1</v>
      </c>
      <c r="D4" s="7" t="n">
        <f aca="false">COUNTIF('Guideline Checklist'!D2:D11,"Non conforme")</f>
        <v>1</v>
      </c>
      <c r="E4" s="7" t="n">
        <f aca="false">COUNTIF('Guideline Checklist'!F2:F11,"Conforme")</f>
        <v>2</v>
      </c>
      <c r="F4" s="7" t="n">
        <f aca="false">COUNTIF('Guideline Checklist'!F2:F11,"Parzialmente conforme")</f>
        <v>0</v>
      </c>
      <c r="G4" s="7" t="n">
        <f aca="false">COUNTIF('Guideline Checklist'!F2:F11,"Non conforme")</f>
        <v>0</v>
      </c>
    </row>
    <row r="5" customFormat="false" ht="15" hidden="false" customHeight="false" outlineLevel="0" collapsed="false">
      <c r="A5" s="6" t="s">
        <v>24</v>
      </c>
      <c r="B5" s="7" t="n">
        <f aca="false">COUNTIF('Guideline Checklist'!D12:D21,"Conforme")</f>
        <v>0</v>
      </c>
      <c r="C5" s="7" t="n">
        <f aca="false">COUNTIF('Guideline Checklist'!D12:D21,"Parzialmente conforme")</f>
        <v>1</v>
      </c>
      <c r="D5" s="7" t="n">
        <f aca="false">COUNTIF('Guideline Checklist'!D12:D21,"Non conforme")</f>
        <v>1</v>
      </c>
      <c r="E5" s="7" t="n">
        <f aca="false">COUNTIF('Guideline Checklist'!F12:F21,"Conforme")</f>
        <v>2</v>
      </c>
      <c r="F5" s="7" t="n">
        <f aca="false">COUNTIF('Guideline Checklist'!F12:F21,"Parzialmente conforme")</f>
        <v>0</v>
      </c>
      <c r="G5" s="7" t="n">
        <f aca="false">COUNTIF('Guideline Checklist'!F12:F21,"Non conforme")</f>
        <v>0</v>
      </c>
    </row>
    <row r="6" customFormat="false" ht="15" hidden="false" customHeight="false" outlineLevel="0" collapsed="false">
      <c r="A6" s="6" t="s">
        <v>25</v>
      </c>
      <c r="B6" s="7" t="n">
        <f aca="false">COUNTIF('Guideline Checklist'!D22:D31,"Conforme")</f>
        <v>0</v>
      </c>
      <c r="C6" s="7" t="n">
        <f aca="false">COUNTIF('Guideline Checklist'!D22:D31,"Parzialmente conforme")</f>
        <v>0</v>
      </c>
      <c r="D6" s="7" t="n">
        <f aca="false">COUNTIF('Guideline Checklist'!D22:D31,"Non conforme")</f>
        <v>2</v>
      </c>
      <c r="E6" s="7" t="n">
        <f aca="false">COUNTIF('Guideline Checklist'!F22:F31,"Conforme")</f>
        <v>2</v>
      </c>
      <c r="F6" s="7" t="n">
        <f aca="false">COUNTIF('Guideline Checklist'!F22:F31,"Parzialmente conforme")</f>
        <v>0</v>
      </c>
      <c r="G6" s="7" t="n">
        <f aca="false">COUNTIF('Guideline Checklist'!F22:F31,"Non conforme")</f>
        <v>0</v>
      </c>
    </row>
    <row r="7" customFormat="false" ht="15" hidden="false" customHeight="false" outlineLevel="0" collapsed="false">
      <c r="A7" s="6" t="s">
        <v>26</v>
      </c>
      <c r="B7" s="7" t="n">
        <f aca="false">COUNTIF('Guideline Checklist'!D32:D41,"Conforme")</f>
        <v>0</v>
      </c>
      <c r="C7" s="7" t="n">
        <f aca="false">COUNTIF('Guideline Checklist'!D32:D41,"Parzialmente conforme")</f>
        <v>1</v>
      </c>
      <c r="D7" s="7" t="n">
        <f aca="false">COUNTIF('Guideline Checklist'!D32:D41,"Non conforme")</f>
        <v>0</v>
      </c>
      <c r="E7" s="7" t="n">
        <f aca="false">COUNTIF('Guideline Checklist'!F32:F41,"Conforme")</f>
        <v>1</v>
      </c>
      <c r="F7" s="7" t="n">
        <f aca="false">COUNTIF('Guideline Checklist'!F32:F41,"Parzialmente conforme")</f>
        <v>0</v>
      </c>
      <c r="G7" s="7" t="n">
        <f aca="false">COUNTIF('Guideline Checklist'!F32:F41,"Non conforme")</f>
        <v>0</v>
      </c>
    </row>
    <row r="8" customFormat="false" ht="15" hidden="false" customHeight="false" outlineLevel="0" collapsed="false">
      <c r="A8" s="6" t="s">
        <v>27</v>
      </c>
      <c r="B8" s="7" t="n">
        <f aca="false">COUNTIF('Guideline Checklist'!D42:D51,"Conforme")</f>
        <v>2</v>
      </c>
      <c r="C8" s="7" t="n">
        <f aca="false">COUNTIF('Guideline Checklist'!D42:D51,"Parzialmente conforme")</f>
        <v>0</v>
      </c>
      <c r="D8" s="7" t="n">
        <f aca="false">COUNTIF('Guideline Checklist'!D42:D51,"Non conforme")</f>
        <v>1</v>
      </c>
      <c r="E8" s="7" t="n">
        <f aca="false">COUNTIF('Guideline Checklist'!F42:F51,"Conforme")</f>
        <v>1</v>
      </c>
      <c r="F8" s="7" t="n">
        <f aca="false">COUNTIF('Guideline Checklist'!F42:F51,"Parzialmente conforme")</f>
        <v>1</v>
      </c>
      <c r="G8" s="7" t="n">
        <f aca="false">COUNTIF('Guideline Checklist'!F42:F51,"Non conforme")</f>
        <v>0</v>
      </c>
    </row>
    <row r="9" customFormat="false" ht="15" hidden="false" customHeight="false" outlineLevel="0" collapsed="false">
      <c r="A9" s="6" t="s">
        <v>28</v>
      </c>
      <c r="B9" s="7" t="n">
        <f aca="false">COUNTIF('Guideline Checklist'!D52:D61,"Conforme")</f>
        <v>0</v>
      </c>
      <c r="C9" s="7" t="n">
        <f aca="false">COUNTIF('Guideline Checklist'!D52:D61,"Parzialmente conforme")</f>
        <v>1</v>
      </c>
      <c r="D9" s="7" t="n">
        <f aca="false">COUNTIF('Guideline Checklist'!D52:D61,"Non conforme")</f>
        <v>1</v>
      </c>
      <c r="E9" s="7" t="n">
        <f aca="false">COUNTIF('Guideline Checklist'!F52:F61,"Conforme")</f>
        <v>1</v>
      </c>
      <c r="F9" s="7" t="n">
        <f aca="false">COUNTIF('Guideline Checklist'!F52:F61,"Parzialmente conforme")</f>
        <v>0</v>
      </c>
      <c r="G9" s="7" t="n">
        <f aca="false">COUNTIF('Guideline Checklist'!F52:F61,"Non conforme")</f>
        <v>0</v>
      </c>
    </row>
    <row r="10" customFormat="false" ht="15" hidden="false" customHeight="false" outlineLevel="0" collapsed="false">
      <c r="A10" s="6" t="s">
        <v>29</v>
      </c>
      <c r="B10" s="7" t="n">
        <f aca="false">COUNTIF('Guideline Checklist'!D62:D71,"Conforme")</f>
        <v>0</v>
      </c>
      <c r="C10" s="7" t="n">
        <f aca="false">COUNTIF('Guideline Checklist'!D62:D71,"Parzialmente conforme")</f>
        <v>0</v>
      </c>
      <c r="D10" s="7" t="n">
        <f aca="false">COUNTIF('Guideline Checklist'!D62:D71,"Non conforme")</f>
        <v>2</v>
      </c>
      <c r="E10" s="7" t="n">
        <f aca="false">COUNTIF('Guideline Checklist'!F62:F71,"Conforme")</f>
        <v>2</v>
      </c>
      <c r="F10" s="7" t="n">
        <f aca="false">COUNTIF('Guideline Checklist'!F62:F71,"Parzialmente conforme")</f>
        <v>0</v>
      </c>
      <c r="G10" s="7" t="n">
        <f aca="false">COUNTIF('Guideline Checklist'!F62:F71,"Non conforme")</f>
        <v>0</v>
      </c>
    </row>
    <row r="11" customFormat="false" ht="15" hidden="false" customHeight="false" outlineLevel="0" collapsed="false">
      <c r="A11" s="6" t="s">
        <v>30</v>
      </c>
      <c r="B11" s="7" t="n">
        <f aca="false">COUNTIF('Guideline Checklist'!D72:D79,"Conforme")</f>
        <v>0</v>
      </c>
      <c r="C11" s="7" t="n">
        <f aca="false">COUNTIF('Guideline Checklist'!D72:D79,"Parzialmente conforme")</f>
        <v>0</v>
      </c>
      <c r="D11" s="7" t="n">
        <f aca="false">COUNTIF('Guideline Checklist'!D72:D79,"Non conforme")</f>
        <v>0</v>
      </c>
      <c r="E11" s="7" t="n">
        <f aca="false">COUNTIF('Guideline Checklist'!F72:F79,"Conforme")</f>
        <v>1</v>
      </c>
      <c r="F11" s="7" t="n">
        <f aca="false">COUNTIF('Guideline Checklist'!F72:F79,"Parzialmente conforme")</f>
        <v>0</v>
      </c>
      <c r="G11" s="7" t="n">
        <f aca="false">COUNTIF('Guideline Checklist'!F72:F79,"Non conforme")</f>
        <v>0</v>
      </c>
    </row>
    <row r="12" customFormat="false" ht="15" hidden="false" customHeight="false" outlineLevel="0" collapsed="false">
      <c r="A12" s="6" t="s">
        <v>31</v>
      </c>
      <c r="B12" s="7" t="n">
        <f aca="false">COUNTIF('Guideline Checklist'!D80:D89,"Conforme")</f>
        <v>1</v>
      </c>
      <c r="C12" s="7" t="n">
        <f aca="false">COUNTIF('Guideline Checklist'!D80:D89,"Parzialmente conforme")</f>
        <v>1</v>
      </c>
      <c r="D12" s="7" t="n">
        <f aca="false">COUNTIF('Guideline Checklist'!D80:D89,"Non conforme")</f>
        <v>0</v>
      </c>
      <c r="E12" s="7" t="n">
        <f aca="false">COUNTIF('Guideline Checklist'!F80:F89,"Conforme")</f>
        <v>1</v>
      </c>
      <c r="F12" s="7" t="n">
        <f aca="false">COUNTIF('Guideline Checklist'!F80:F89,"Parzialmente conforme")</f>
        <v>1</v>
      </c>
      <c r="G12" s="7" t="n">
        <f aca="false">COUNTIF('Guideline Checklist'!F80:F89,"Non conforme")</f>
        <v>0</v>
      </c>
    </row>
    <row r="13" customFormat="false" ht="15" hidden="false" customHeight="false" outlineLevel="0" collapsed="false">
      <c r="A13" s="6" t="s">
        <v>32</v>
      </c>
      <c r="B13" s="8" t="n">
        <f aca="false">SUM(B4:B12)</f>
        <v>4</v>
      </c>
      <c r="C13" s="8" t="n">
        <f aca="false">SUM(C4:C12)</f>
        <v>5</v>
      </c>
      <c r="D13" s="8" t="n">
        <f aca="false">SUM(D4:D12)</f>
        <v>8</v>
      </c>
      <c r="E13" s="8" t="n">
        <f aca="false">SUM(E4:E12)</f>
        <v>13</v>
      </c>
      <c r="F13" s="8" t="n">
        <f aca="false">SUM(F4:F12)</f>
        <v>2</v>
      </c>
      <c r="G13" s="8" t="n">
        <f aca="false">SUM(G4:G12)</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8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5"/>
    <col collapsed="false" customWidth="true" hidden="false" outlineLevel="0" max="3" min="3" style="0" width="55"/>
    <col collapsed="false" customWidth="true" hidden="false" outlineLevel="0" max="4" min="4" style="0" width="20"/>
    <col collapsed="false" customWidth="true" hidden="false" outlineLevel="0" max="5" min="5" style="0" width="45"/>
    <col collapsed="false" customWidth="true" hidden="false" outlineLevel="0" max="6" min="6" style="0" width="20"/>
    <col collapsed="false" customWidth="true" hidden="false" outlineLevel="0" max="7" min="7" style="0" width="45"/>
  </cols>
  <sheetData>
    <row r="1" customFormat="false" ht="30" hidden="false" customHeight="true" outlineLevel="0" collapsed="false">
      <c r="A1" s="9" t="s">
        <v>16</v>
      </c>
      <c r="B1" s="9" t="s">
        <v>33</v>
      </c>
      <c r="C1" s="9" t="s">
        <v>34</v>
      </c>
      <c r="D1" s="9" t="s">
        <v>35</v>
      </c>
      <c r="E1" s="9" t="s">
        <v>36</v>
      </c>
      <c r="F1" s="9" t="s">
        <v>37</v>
      </c>
      <c r="G1" s="9" t="s">
        <v>38</v>
      </c>
    </row>
    <row r="2" customFormat="false" ht="35.05" hidden="false" customHeight="false" outlineLevel="0" collapsed="false">
      <c r="A2" s="10" t="s">
        <v>23</v>
      </c>
      <c r="B2" s="10" t="n">
        <v>1</v>
      </c>
      <c r="C2" s="10" t="s">
        <v>39</v>
      </c>
      <c r="D2" s="11" t="s">
        <v>40</v>
      </c>
      <c r="E2" s="10" t="s">
        <v>41</v>
      </c>
      <c r="F2" s="12" t="s">
        <v>42</v>
      </c>
      <c r="G2" s="10" t="s">
        <v>43</v>
      </c>
    </row>
    <row r="3" customFormat="false" ht="23.85" hidden="false" customHeight="false" outlineLevel="0" collapsed="false">
      <c r="A3" s="10" t="s">
        <v>23</v>
      </c>
      <c r="B3" s="10" t="n">
        <v>2</v>
      </c>
      <c r="C3" s="10" t="s">
        <v>44</v>
      </c>
      <c r="D3" s="13" t="s">
        <v>45</v>
      </c>
      <c r="E3" s="10" t="s">
        <v>46</v>
      </c>
      <c r="F3" s="13" t="s">
        <v>45</v>
      </c>
      <c r="G3" s="10" t="s">
        <v>47</v>
      </c>
    </row>
    <row r="4" customFormat="false" ht="23.85" hidden="false" customHeight="false" outlineLevel="0" collapsed="false">
      <c r="A4" s="10" t="s">
        <v>23</v>
      </c>
      <c r="B4" s="10" t="n">
        <v>3</v>
      </c>
      <c r="C4" s="10" t="s">
        <v>48</v>
      </c>
      <c r="D4" s="14" t="s">
        <v>49</v>
      </c>
      <c r="E4" s="10" t="s">
        <v>50</v>
      </c>
      <c r="F4" s="13" t="s">
        <v>45</v>
      </c>
      <c r="G4" s="10" t="s">
        <v>47</v>
      </c>
    </row>
    <row r="5" customFormat="false" ht="23.85" hidden="false" customHeight="false" outlineLevel="0" collapsed="false">
      <c r="A5" s="10" t="s">
        <v>23</v>
      </c>
      <c r="B5" s="10" t="n">
        <v>4</v>
      </c>
      <c r="C5" s="10" t="s">
        <v>51</v>
      </c>
      <c r="D5" s="13" t="s">
        <v>45</v>
      </c>
      <c r="E5" s="10" t="s">
        <v>46</v>
      </c>
      <c r="F5" s="13" t="s">
        <v>45</v>
      </c>
      <c r="G5" s="10" t="s">
        <v>47</v>
      </c>
    </row>
    <row r="6" customFormat="false" ht="23.85" hidden="false" customHeight="false" outlineLevel="0" collapsed="false">
      <c r="A6" s="10" t="s">
        <v>23</v>
      </c>
      <c r="B6" s="10" t="n">
        <v>5</v>
      </c>
      <c r="C6" s="10" t="s">
        <v>52</v>
      </c>
      <c r="D6" s="13" t="s">
        <v>45</v>
      </c>
      <c r="E6" s="10" t="s">
        <v>46</v>
      </c>
      <c r="F6" s="13" t="s">
        <v>45</v>
      </c>
      <c r="G6" s="10" t="s">
        <v>47</v>
      </c>
    </row>
    <row r="7" customFormat="false" ht="23.85" hidden="false" customHeight="false" outlineLevel="0" collapsed="false">
      <c r="A7" s="10" t="s">
        <v>23</v>
      </c>
      <c r="B7" s="10" t="n">
        <v>6</v>
      </c>
      <c r="C7" s="10" t="s">
        <v>53</v>
      </c>
      <c r="D7" s="12" t="s">
        <v>42</v>
      </c>
      <c r="E7" s="10" t="s">
        <v>54</v>
      </c>
      <c r="F7" s="13" t="s">
        <v>45</v>
      </c>
      <c r="G7" s="10" t="s">
        <v>47</v>
      </c>
    </row>
    <row r="8" customFormat="false" ht="23.85" hidden="false" customHeight="false" outlineLevel="0" collapsed="false">
      <c r="A8" s="10" t="s">
        <v>23</v>
      </c>
      <c r="B8" s="10" t="n">
        <v>7</v>
      </c>
      <c r="C8" s="10" t="s">
        <v>55</v>
      </c>
      <c r="D8" s="13" t="s">
        <v>45</v>
      </c>
      <c r="E8" s="10" t="s">
        <v>46</v>
      </c>
      <c r="F8" s="13" t="s">
        <v>45</v>
      </c>
      <c r="G8" s="10" t="s">
        <v>47</v>
      </c>
    </row>
    <row r="9" customFormat="false" ht="23.85" hidden="false" customHeight="false" outlineLevel="0" collapsed="false">
      <c r="A9" s="10" t="s">
        <v>23</v>
      </c>
      <c r="B9" s="10" t="n">
        <v>8</v>
      </c>
      <c r="C9" s="10" t="s">
        <v>56</v>
      </c>
      <c r="D9" s="13" t="s">
        <v>45</v>
      </c>
      <c r="E9" s="10" t="s">
        <v>46</v>
      </c>
      <c r="F9" s="12" t="s">
        <v>42</v>
      </c>
      <c r="G9" s="10" t="s">
        <v>57</v>
      </c>
    </row>
    <row r="10" customFormat="false" ht="23.85" hidden="false" customHeight="false" outlineLevel="0" collapsed="false">
      <c r="A10" s="10" t="s">
        <v>23</v>
      </c>
      <c r="B10" s="10" t="n">
        <v>9</v>
      </c>
      <c r="C10" s="10" t="s">
        <v>58</v>
      </c>
      <c r="D10" s="13" t="s">
        <v>45</v>
      </c>
      <c r="E10" s="10" t="s">
        <v>46</v>
      </c>
      <c r="F10" s="13" t="s">
        <v>45</v>
      </c>
      <c r="G10" s="10" t="s">
        <v>47</v>
      </c>
    </row>
    <row r="11" customFormat="false" ht="23.85" hidden="false" customHeight="false" outlineLevel="0" collapsed="false">
      <c r="A11" s="10" t="s">
        <v>23</v>
      </c>
      <c r="B11" s="10" t="n">
        <v>10</v>
      </c>
      <c r="C11" s="10" t="s">
        <v>59</v>
      </c>
      <c r="D11" s="13" t="s">
        <v>45</v>
      </c>
      <c r="E11" s="10" t="s">
        <v>46</v>
      </c>
      <c r="F11" s="13" t="s">
        <v>45</v>
      </c>
      <c r="G11" s="10" t="s">
        <v>47</v>
      </c>
    </row>
    <row r="12" customFormat="false" ht="23.85" hidden="false" customHeight="false" outlineLevel="0" collapsed="false">
      <c r="A12" s="10" t="s">
        <v>24</v>
      </c>
      <c r="B12" s="10" t="n">
        <v>1</v>
      </c>
      <c r="C12" s="10" t="s">
        <v>60</v>
      </c>
      <c r="D12" s="13" t="s">
        <v>45</v>
      </c>
      <c r="E12" s="10" t="s">
        <v>46</v>
      </c>
      <c r="F12" s="13" t="s">
        <v>45</v>
      </c>
      <c r="G12" s="10" t="s">
        <v>47</v>
      </c>
    </row>
    <row r="13" customFormat="false" ht="23.85" hidden="false" customHeight="false" outlineLevel="0" collapsed="false">
      <c r="A13" s="10" t="s">
        <v>24</v>
      </c>
      <c r="B13" s="10" t="n">
        <v>2</v>
      </c>
      <c r="C13" s="10" t="s">
        <v>61</v>
      </c>
      <c r="D13" s="13" t="s">
        <v>45</v>
      </c>
      <c r="E13" s="10" t="s">
        <v>46</v>
      </c>
      <c r="F13" s="13" t="s">
        <v>45</v>
      </c>
      <c r="G13" s="10" t="s">
        <v>47</v>
      </c>
    </row>
    <row r="14" customFormat="false" ht="23.85" hidden="false" customHeight="false" outlineLevel="0" collapsed="false">
      <c r="A14" s="10" t="s">
        <v>24</v>
      </c>
      <c r="B14" s="10" t="n">
        <v>3</v>
      </c>
      <c r="C14" s="10" t="s">
        <v>62</v>
      </c>
      <c r="D14" s="14" t="s">
        <v>49</v>
      </c>
      <c r="E14" s="10" t="s">
        <v>63</v>
      </c>
      <c r="F14" s="12" t="s">
        <v>42</v>
      </c>
      <c r="G14" s="10" t="s">
        <v>64</v>
      </c>
    </row>
    <row r="15" customFormat="false" ht="23.85" hidden="false" customHeight="false" outlineLevel="0" collapsed="false">
      <c r="A15" s="10" t="s">
        <v>24</v>
      </c>
      <c r="B15" s="10" t="n">
        <v>4</v>
      </c>
      <c r="C15" s="10" t="s">
        <v>65</v>
      </c>
      <c r="D15" s="11" t="s">
        <v>40</v>
      </c>
      <c r="E15" s="10" t="s">
        <v>66</v>
      </c>
      <c r="F15" s="12" t="s">
        <v>42</v>
      </c>
      <c r="G15" s="10" t="s">
        <v>67</v>
      </c>
    </row>
    <row r="16" customFormat="false" ht="23.85" hidden="false" customHeight="false" outlineLevel="0" collapsed="false">
      <c r="A16" s="10" t="s">
        <v>24</v>
      </c>
      <c r="B16" s="10" t="n">
        <v>5</v>
      </c>
      <c r="C16" s="10" t="s">
        <v>68</v>
      </c>
      <c r="D16" s="13" t="s">
        <v>45</v>
      </c>
      <c r="E16" s="10" t="s">
        <v>46</v>
      </c>
      <c r="F16" s="13" t="s">
        <v>45</v>
      </c>
      <c r="G16" s="10" t="s">
        <v>47</v>
      </c>
    </row>
    <row r="17" customFormat="false" ht="23.85" hidden="false" customHeight="false" outlineLevel="0" collapsed="false">
      <c r="A17" s="10" t="s">
        <v>24</v>
      </c>
      <c r="B17" s="10" t="n">
        <v>6</v>
      </c>
      <c r="C17" s="10" t="s">
        <v>69</v>
      </c>
      <c r="D17" s="13" t="s">
        <v>45</v>
      </c>
      <c r="E17" s="10" t="s">
        <v>46</v>
      </c>
      <c r="F17" s="13" t="s">
        <v>45</v>
      </c>
      <c r="G17" s="10" t="s">
        <v>47</v>
      </c>
    </row>
    <row r="18" customFormat="false" ht="23.85" hidden="false" customHeight="false" outlineLevel="0" collapsed="false">
      <c r="A18" s="10" t="s">
        <v>24</v>
      </c>
      <c r="B18" s="10" t="n">
        <v>7</v>
      </c>
      <c r="C18" s="10" t="s">
        <v>70</v>
      </c>
      <c r="D18" s="13" t="s">
        <v>45</v>
      </c>
      <c r="E18" s="10" t="s">
        <v>46</v>
      </c>
      <c r="F18" s="13" t="s">
        <v>45</v>
      </c>
      <c r="G18" s="10" t="s">
        <v>47</v>
      </c>
    </row>
    <row r="19" customFormat="false" ht="23.85" hidden="false" customHeight="false" outlineLevel="0" collapsed="false">
      <c r="A19" s="10" t="s">
        <v>24</v>
      </c>
      <c r="B19" s="10" t="n">
        <v>8</v>
      </c>
      <c r="C19" s="10" t="s">
        <v>71</v>
      </c>
      <c r="D19" s="13" t="s">
        <v>45</v>
      </c>
      <c r="E19" s="10" t="s">
        <v>46</v>
      </c>
      <c r="F19" s="13" t="s">
        <v>45</v>
      </c>
      <c r="G19" s="10" t="s">
        <v>47</v>
      </c>
    </row>
    <row r="20" customFormat="false" ht="23.85" hidden="false" customHeight="false" outlineLevel="0" collapsed="false">
      <c r="A20" s="10" t="s">
        <v>24</v>
      </c>
      <c r="B20" s="10" t="n">
        <v>9</v>
      </c>
      <c r="C20" s="10" t="s">
        <v>72</v>
      </c>
      <c r="D20" s="13" t="s">
        <v>45</v>
      </c>
      <c r="E20" s="10" t="s">
        <v>73</v>
      </c>
      <c r="F20" s="13" t="s">
        <v>45</v>
      </c>
      <c r="G20" s="10" t="s">
        <v>73</v>
      </c>
    </row>
    <row r="21" customFormat="false" ht="23.85" hidden="false" customHeight="false" outlineLevel="0" collapsed="false">
      <c r="A21" s="10" t="s">
        <v>24</v>
      </c>
      <c r="B21" s="10" t="n">
        <v>10</v>
      </c>
      <c r="C21" s="10" t="s">
        <v>74</v>
      </c>
      <c r="D21" s="13" t="s">
        <v>45</v>
      </c>
      <c r="E21" s="10" t="s">
        <v>46</v>
      </c>
      <c r="F21" s="13" t="s">
        <v>45</v>
      </c>
      <c r="G21" s="10" t="s">
        <v>47</v>
      </c>
    </row>
    <row r="22" customFormat="false" ht="23.85" hidden="false" customHeight="false" outlineLevel="0" collapsed="false">
      <c r="A22" s="10" t="s">
        <v>25</v>
      </c>
      <c r="B22" s="10" t="n">
        <v>1</v>
      </c>
      <c r="C22" s="10" t="s">
        <v>75</v>
      </c>
      <c r="D22" s="13" t="s">
        <v>45</v>
      </c>
      <c r="E22" s="10" t="s">
        <v>46</v>
      </c>
      <c r="F22" s="13" t="s">
        <v>45</v>
      </c>
      <c r="G22" s="10" t="s">
        <v>47</v>
      </c>
    </row>
    <row r="23" customFormat="false" ht="23.85" hidden="false" customHeight="false" outlineLevel="0" collapsed="false">
      <c r="A23" s="10" t="s">
        <v>25</v>
      </c>
      <c r="B23" s="10" t="n">
        <v>2</v>
      </c>
      <c r="C23" s="10" t="s">
        <v>76</v>
      </c>
      <c r="D23" s="13" t="s">
        <v>45</v>
      </c>
      <c r="E23" s="10" t="s">
        <v>46</v>
      </c>
      <c r="F23" s="13" t="s">
        <v>45</v>
      </c>
      <c r="G23" s="10" t="s">
        <v>47</v>
      </c>
    </row>
    <row r="24" customFormat="false" ht="23.85" hidden="false" customHeight="false" outlineLevel="0" collapsed="false">
      <c r="A24" s="10" t="s">
        <v>25</v>
      </c>
      <c r="B24" s="10" t="n">
        <v>3</v>
      </c>
      <c r="C24" s="10" t="s">
        <v>77</v>
      </c>
      <c r="D24" s="13" t="s">
        <v>45</v>
      </c>
      <c r="E24" s="10" t="s">
        <v>46</v>
      </c>
      <c r="F24" s="13" t="s">
        <v>45</v>
      </c>
      <c r="G24" s="10" t="s">
        <v>47</v>
      </c>
    </row>
    <row r="25" customFormat="false" ht="23.85" hidden="false" customHeight="false" outlineLevel="0" collapsed="false">
      <c r="A25" s="10" t="s">
        <v>25</v>
      </c>
      <c r="B25" s="10" t="n">
        <v>4</v>
      </c>
      <c r="C25" s="10" t="s">
        <v>78</v>
      </c>
      <c r="D25" s="13" t="s">
        <v>45</v>
      </c>
      <c r="E25" s="10" t="s">
        <v>79</v>
      </c>
      <c r="F25" s="13" t="s">
        <v>45</v>
      </c>
      <c r="G25" s="10" t="s">
        <v>47</v>
      </c>
    </row>
    <row r="26" customFormat="false" ht="23.85" hidden="false" customHeight="false" outlineLevel="0" collapsed="false">
      <c r="A26" s="10" t="s">
        <v>25</v>
      </c>
      <c r="B26" s="10" t="n">
        <v>5</v>
      </c>
      <c r="C26" s="10" t="s">
        <v>80</v>
      </c>
      <c r="D26" s="13" t="s">
        <v>45</v>
      </c>
      <c r="E26" s="10" t="s">
        <v>46</v>
      </c>
      <c r="F26" s="13" t="s">
        <v>45</v>
      </c>
      <c r="G26" s="10" t="s">
        <v>47</v>
      </c>
    </row>
    <row r="27" customFormat="false" ht="23.85" hidden="false" customHeight="false" outlineLevel="0" collapsed="false">
      <c r="A27" s="10" t="s">
        <v>25</v>
      </c>
      <c r="B27" s="10" t="n">
        <v>6</v>
      </c>
      <c r="C27" s="10" t="s">
        <v>81</v>
      </c>
      <c r="D27" s="13" t="s">
        <v>45</v>
      </c>
      <c r="E27" s="10" t="s">
        <v>46</v>
      </c>
      <c r="F27" s="13" t="s">
        <v>45</v>
      </c>
      <c r="G27" s="10" t="s">
        <v>47</v>
      </c>
    </row>
    <row r="28" customFormat="false" ht="35.05" hidden="false" customHeight="false" outlineLevel="0" collapsed="false">
      <c r="A28" s="10" t="s">
        <v>25</v>
      </c>
      <c r="B28" s="10" t="n">
        <v>7</v>
      </c>
      <c r="C28" s="10" t="s">
        <v>82</v>
      </c>
      <c r="D28" s="14" t="s">
        <v>49</v>
      </c>
      <c r="E28" s="10" t="s">
        <v>83</v>
      </c>
      <c r="F28" s="12" t="s">
        <v>42</v>
      </c>
      <c r="G28" s="10" t="s">
        <v>84</v>
      </c>
    </row>
    <row r="29" customFormat="false" ht="23.85" hidden="false" customHeight="false" outlineLevel="0" collapsed="false">
      <c r="A29" s="10" t="s">
        <v>25</v>
      </c>
      <c r="B29" s="10" t="n">
        <v>8</v>
      </c>
      <c r="C29" s="10" t="s">
        <v>85</v>
      </c>
      <c r="D29" s="14" t="s">
        <v>49</v>
      </c>
      <c r="E29" s="10" t="s">
        <v>86</v>
      </c>
      <c r="F29" s="12" t="s">
        <v>42</v>
      </c>
      <c r="G29" s="10" t="s">
        <v>87</v>
      </c>
    </row>
    <row r="30" customFormat="false" ht="23.85" hidden="false" customHeight="false" outlineLevel="0" collapsed="false">
      <c r="A30" s="10" t="s">
        <v>25</v>
      </c>
      <c r="B30" s="10" t="n">
        <v>9</v>
      </c>
      <c r="C30" s="10" t="s">
        <v>88</v>
      </c>
      <c r="D30" s="13" t="s">
        <v>45</v>
      </c>
      <c r="E30" s="10" t="s">
        <v>46</v>
      </c>
      <c r="F30" s="13" t="s">
        <v>45</v>
      </c>
      <c r="G30" s="10" t="s">
        <v>47</v>
      </c>
    </row>
    <row r="31" customFormat="false" ht="23.85" hidden="false" customHeight="false" outlineLevel="0" collapsed="false">
      <c r="A31" s="10" t="s">
        <v>25</v>
      </c>
      <c r="B31" s="10" t="n">
        <v>10</v>
      </c>
      <c r="C31" s="10" t="s">
        <v>89</v>
      </c>
      <c r="D31" s="13" t="s">
        <v>45</v>
      </c>
      <c r="E31" s="10" t="s">
        <v>46</v>
      </c>
      <c r="F31" s="13" t="s">
        <v>45</v>
      </c>
      <c r="G31" s="10" t="s">
        <v>47</v>
      </c>
    </row>
    <row r="32" customFormat="false" ht="23.85" hidden="false" customHeight="false" outlineLevel="0" collapsed="false">
      <c r="A32" s="10" t="s">
        <v>26</v>
      </c>
      <c r="B32" s="10" t="n">
        <v>1</v>
      </c>
      <c r="C32" s="10" t="s">
        <v>90</v>
      </c>
      <c r="D32" s="13" t="s">
        <v>45</v>
      </c>
      <c r="E32" s="10" t="s">
        <v>46</v>
      </c>
      <c r="F32" s="13" t="s">
        <v>45</v>
      </c>
      <c r="G32" s="10" t="s">
        <v>47</v>
      </c>
    </row>
    <row r="33" customFormat="false" ht="23.85" hidden="false" customHeight="false" outlineLevel="0" collapsed="false">
      <c r="A33" s="10" t="s">
        <v>26</v>
      </c>
      <c r="B33" s="10" t="n">
        <v>2</v>
      </c>
      <c r="C33" s="10" t="s">
        <v>91</v>
      </c>
      <c r="D33" s="13" t="s">
        <v>45</v>
      </c>
      <c r="E33" s="10" t="s">
        <v>46</v>
      </c>
      <c r="F33" s="13" t="s">
        <v>45</v>
      </c>
      <c r="G33" s="10" t="s">
        <v>47</v>
      </c>
    </row>
    <row r="34" customFormat="false" ht="23.85" hidden="false" customHeight="false" outlineLevel="0" collapsed="false">
      <c r="A34" s="10" t="s">
        <v>26</v>
      </c>
      <c r="B34" s="10" t="n">
        <v>3</v>
      </c>
      <c r="C34" s="10" t="s">
        <v>92</v>
      </c>
      <c r="D34" s="13" t="s">
        <v>45</v>
      </c>
      <c r="E34" s="10" t="s">
        <v>46</v>
      </c>
      <c r="F34" s="13" t="s">
        <v>45</v>
      </c>
      <c r="G34" s="10" t="s">
        <v>47</v>
      </c>
    </row>
    <row r="35" customFormat="false" ht="23.85" hidden="false" customHeight="false" outlineLevel="0" collapsed="false">
      <c r="A35" s="10" t="s">
        <v>26</v>
      </c>
      <c r="B35" s="10" t="n">
        <v>4</v>
      </c>
      <c r="C35" s="10" t="s">
        <v>93</v>
      </c>
      <c r="D35" s="13" t="s">
        <v>45</v>
      </c>
      <c r="E35" s="10" t="s">
        <v>46</v>
      </c>
      <c r="F35" s="13" t="s">
        <v>45</v>
      </c>
      <c r="G35" s="10" t="s">
        <v>47</v>
      </c>
    </row>
    <row r="36" customFormat="false" ht="23.85" hidden="false" customHeight="false" outlineLevel="0" collapsed="false">
      <c r="A36" s="10" t="s">
        <v>26</v>
      </c>
      <c r="B36" s="10" t="n">
        <v>5</v>
      </c>
      <c r="C36" s="10" t="s">
        <v>94</v>
      </c>
      <c r="D36" s="13" t="s">
        <v>45</v>
      </c>
      <c r="E36" s="10" t="s">
        <v>46</v>
      </c>
      <c r="F36" s="13" t="s">
        <v>45</v>
      </c>
      <c r="G36" s="10" t="s">
        <v>47</v>
      </c>
    </row>
    <row r="37" customFormat="false" ht="23.85" hidden="false" customHeight="false" outlineLevel="0" collapsed="false">
      <c r="A37" s="10" t="s">
        <v>26</v>
      </c>
      <c r="B37" s="10" t="n">
        <v>6</v>
      </c>
      <c r="C37" s="10" t="s">
        <v>95</v>
      </c>
      <c r="D37" s="13" t="s">
        <v>45</v>
      </c>
      <c r="E37" s="10" t="s">
        <v>46</v>
      </c>
      <c r="F37" s="13" t="s">
        <v>45</v>
      </c>
      <c r="G37" s="10" t="s">
        <v>47</v>
      </c>
    </row>
    <row r="38" customFormat="false" ht="23.85" hidden="false" customHeight="false" outlineLevel="0" collapsed="false">
      <c r="A38" s="10" t="s">
        <v>26</v>
      </c>
      <c r="B38" s="10" t="n">
        <v>7</v>
      </c>
      <c r="C38" s="10" t="s">
        <v>96</v>
      </c>
      <c r="D38" s="13" t="s">
        <v>45</v>
      </c>
      <c r="E38" s="10" t="s">
        <v>46</v>
      </c>
      <c r="F38" s="13" t="s">
        <v>45</v>
      </c>
      <c r="G38" s="10" t="s">
        <v>47</v>
      </c>
    </row>
    <row r="39" customFormat="false" ht="35.05" hidden="false" customHeight="false" outlineLevel="0" collapsed="false">
      <c r="A39" s="10" t="s">
        <v>26</v>
      </c>
      <c r="B39" s="10" t="n">
        <v>8</v>
      </c>
      <c r="C39" s="10" t="s">
        <v>97</v>
      </c>
      <c r="D39" s="11" t="s">
        <v>40</v>
      </c>
      <c r="E39" s="10" t="s">
        <v>98</v>
      </c>
      <c r="F39" s="12" t="s">
        <v>42</v>
      </c>
      <c r="G39" s="10" t="s">
        <v>99</v>
      </c>
    </row>
    <row r="40" customFormat="false" ht="23.85" hidden="false" customHeight="false" outlineLevel="0" collapsed="false">
      <c r="A40" s="10" t="s">
        <v>26</v>
      </c>
      <c r="B40" s="10" t="n">
        <v>9</v>
      </c>
      <c r="C40" s="10" t="s">
        <v>100</v>
      </c>
      <c r="D40" s="13" t="s">
        <v>45</v>
      </c>
      <c r="E40" s="10" t="s">
        <v>101</v>
      </c>
      <c r="F40" s="13" t="s">
        <v>45</v>
      </c>
      <c r="G40" s="10" t="s">
        <v>102</v>
      </c>
    </row>
    <row r="41" customFormat="false" ht="23.85" hidden="false" customHeight="false" outlineLevel="0" collapsed="false">
      <c r="A41" s="10" t="s">
        <v>26</v>
      </c>
      <c r="B41" s="10" t="n">
        <v>10</v>
      </c>
      <c r="C41" s="10" t="s">
        <v>103</v>
      </c>
      <c r="D41" s="13" t="s">
        <v>45</v>
      </c>
      <c r="E41" s="10" t="s">
        <v>46</v>
      </c>
      <c r="F41" s="13" t="s">
        <v>45</v>
      </c>
      <c r="G41" s="10" t="s">
        <v>47</v>
      </c>
    </row>
    <row r="42" customFormat="false" ht="23.85" hidden="false" customHeight="false" outlineLevel="0" collapsed="false">
      <c r="A42" s="10" t="s">
        <v>27</v>
      </c>
      <c r="B42" s="10" t="n">
        <v>1</v>
      </c>
      <c r="C42" s="10" t="s">
        <v>104</v>
      </c>
      <c r="D42" s="12" t="s">
        <v>42</v>
      </c>
      <c r="E42" s="10" t="s">
        <v>105</v>
      </c>
      <c r="F42" s="13" t="s">
        <v>45</v>
      </c>
      <c r="G42" s="10" t="s">
        <v>47</v>
      </c>
    </row>
    <row r="43" customFormat="false" ht="23.85" hidden="false" customHeight="false" outlineLevel="0" collapsed="false">
      <c r="A43" s="10" t="s">
        <v>27</v>
      </c>
      <c r="B43" s="10" t="n">
        <v>2</v>
      </c>
      <c r="C43" s="10" t="s">
        <v>106</v>
      </c>
      <c r="D43" s="13" t="s">
        <v>45</v>
      </c>
      <c r="E43" s="10" t="s">
        <v>46</v>
      </c>
      <c r="F43" s="13" t="s">
        <v>45</v>
      </c>
      <c r="G43" s="10" t="s">
        <v>47</v>
      </c>
    </row>
    <row r="44" customFormat="false" ht="23.85" hidden="false" customHeight="false" outlineLevel="0" collapsed="false">
      <c r="A44" s="10" t="s">
        <v>27</v>
      </c>
      <c r="B44" s="10" t="n">
        <v>3</v>
      </c>
      <c r="C44" s="10" t="s">
        <v>107</v>
      </c>
      <c r="D44" s="13" t="s">
        <v>45</v>
      </c>
      <c r="E44" s="10" t="s">
        <v>46</v>
      </c>
      <c r="F44" s="13" t="s">
        <v>45</v>
      </c>
      <c r="G44" s="10" t="s">
        <v>47</v>
      </c>
    </row>
    <row r="45" customFormat="false" ht="23.85" hidden="false" customHeight="false" outlineLevel="0" collapsed="false">
      <c r="A45" s="10" t="s">
        <v>27</v>
      </c>
      <c r="B45" s="10" t="n">
        <v>4</v>
      </c>
      <c r="C45" s="10" t="s">
        <v>108</v>
      </c>
      <c r="D45" s="13" t="s">
        <v>45</v>
      </c>
      <c r="E45" s="10" t="s">
        <v>46</v>
      </c>
      <c r="F45" s="13" t="s">
        <v>45</v>
      </c>
      <c r="G45" s="10" t="s">
        <v>47</v>
      </c>
    </row>
    <row r="46" customFormat="false" ht="23.85" hidden="false" customHeight="false" outlineLevel="0" collapsed="false">
      <c r="A46" s="10" t="s">
        <v>27</v>
      </c>
      <c r="B46" s="10" t="n">
        <v>5</v>
      </c>
      <c r="C46" s="10" t="s">
        <v>109</v>
      </c>
      <c r="D46" s="14" t="s">
        <v>49</v>
      </c>
      <c r="E46" s="10" t="s">
        <v>110</v>
      </c>
      <c r="F46" s="12" t="s">
        <v>42</v>
      </c>
      <c r="G46" s="10" t="s">
        <v>111</v>
      </c>
    </row>
    <row r="47" customFormat="false" ht="23.85" hidden="false" customHeight="false" outlineLevel="0" collapsed="false">
      <c r="A47" s="10" t="s">
        <v>27</v>
      </c>
      <c r="B47" s="10" t="n">
        <v>6</v>
      </c>
      <c r="C47" s="10" t="s">
        <v>112</v>
      </c>
      <c r="D47" s="13" t="s">
        <v>45</v>
      </c>
      <c r="E47" s="10" t="s">
        <v>46</v>
      </c>
      <c r="F47" s="13" t="s">
        <v>45</v>
      </c>
      <c r="G47" s="10" t="s">
        <v>47</v>
      </c>
    </row>
    <row r="48" customFormat="false" ht="23.85" hidden="false" customHeight="false" outlineLevel="0" collapsed="false">
      <c r="A48" s="10" t="s">
        <v>27</v>
      </c>
      <c r="B48" s="10" t="n">
        <v>7</v>
      </c>
      <c r="C48" s="10" t="s">
        <v>113</v>
      </c>
      <c r="D48" s="12" t="s">
        <v>42</v>
      </c>
      <c r="E48" s="10" t="s">
        <v>114</v>
      </c>
      <c r="F48" s="13" t="s">
        <v>45</v>
      </c>
      <c r="G48" s="10" t="s">
        <v>47</v>
      </c>
    </row>
    <row r="49" customFormat="false" ht="23.85" hidden="false" customHeight="false" outlineLevel="0" collapsed="false">
      <c r="A49" s="10" t="s">
        <v>27</v>
      </c>
      <c r="B49" s="10" t="n">
        <v>8</v>
      </c>
      <c r="C49" s="10" t="s">
        <v>115</v>
      </c>
      <c r="D49" s="13" t="s">
        <v>45</v>
      </c>
      <c r="E49" s="10" t="s">
        <v>46</v>
      </c>
      <c r="F49" s="13" t="s">
        <v>45</v>
      </c>
      <c r="G49" s="10" t="s">
        <v>47</v>
      </c>
    </row>
    <row r="50" customFormat="false" ht="35.05" hidden="false" customHeight="false" outlineLevel="0" collapsed="false">
      <c r="A50" s="10" t="s">
        <v>27</v>
      </c>
      <c r="B50" s="10" t="n">
        <v>9</v>
      </c>
      <c r="C50" s="10" t="s">
        <v>116</v>
      </c>
      <c r="D50" s="13" t="s">
        <v>45</v>
      </c>
      <c r="E50" s="10" t="s">
        <v>46</v>
      </c>
      <c r="F50" s="11" t="s">
        <v>40</v>
      </c>
      <c r="G50" s="10" t="s">
        <v>117</v>
      </c>
    </row>
    <row r="51" customFormat="false" ht="23.85" hidden="false" customHeight="false" outlineLevel="0" collapsed="false">
      <c r="A51" s="10" t="s">
        <v>27</v>
      </c>
      <c r="B51" s="10" t="n">
        <v>10</v>
      </c>
      <c r="C51" s="10" t="s">
        <v>118</v>
      </c>
      <c r="D51" s="13" t="s">
        <v>45</v>
      </c>
      <c r="E51" s="10" t="s">
        <v>46</v>
      </c>
      <c r="F51" s="13" t="s">
        <v>45</v>
      </c>
      <c r="G51" s="10" t="s">
        <v>47</v>
      </c>
    </row>
    <row r="52" customFormat="false" ht="23.85" hidden="false" customHeight="false" outlineLevel="0" collapsed="false">
      <c r="A52" s="10" t="s">
        <v>28</v>
      </c>
      <c r="B52" s="10" t="n">
        <v>1</v>
      </c>
      <c r="C52" s="10" t="s">
        <v>119</v>
      </c>
      <c r="D52" s="13" t="s">
        <v>45</v>
      </c>
      <c r="E52" s="10" t="s">
        <v>46</v>
      </c>
      <c r="F52" s="12" t="s">
        <v>42</v>
      </c>
      <c r="G52" s="10" t="s">
        <v>120</v>
      </c>
    </row>
    <row r="53" customFormat="false" ht="23.85" hidden="false" customHeight="false" outlineLevel="0" collapsed="false">
      <c r="A53" s="10" t="s">
        <v>28</v>
      </c>
      <c r="B53" s="10" t="n">
        <v>2</v>
      </c>
      <c r="C53" s="10" t="s">
        <v>121</v>
      </c>
      <c r="D53" s="14" t="s">
        <v>49</v>
      </c>
      <c r="E53" s="10" t="s">
        <v>122</v>
      </c>
      <c r="F53" s="13" t="s">
        <v>45</v>
      </c>
      <c r="G53" s="10" t="s">
        <v>47</v>
      </c>
    </row>
    <row r="54" customFormat="false" ht="23.85" hidden="false" customHeight="false" outlineLevel="0" collapsed="false">
      <c r="A54" s="10" t="s">
        <v>28</v>
      </c>
      <c r="B54" s="10" t="n">
        <v>3</v>
      </c>
      <c r="C54" s="10" t="s">
        <v>123</v>
      </c>
      <c r="D54" s="13" t="s">
        <v>45</v>
      </c>
      <c r="E54" s="10" t="s">
        <v>46</v>
      </c>
      <c r="F54" s="13" t="s">
        <v>45</v>
      </c>
      <c r="G54" s="10" t="s">
        <v>47</v>
      </c>
    </row>
    <row r="55" customFormat="false" ht="23.85" hidden="false" customHeight="false" outlineLevel="0" collapsed="false">
      <c r="A55" s="10" t="s">
        <v>28</v>
      </c>
      <c r="B55" s="10" t="n">
        <v>4</v>
      </c>
      <c r="C55" s="10" t="s">
        <v>124</v>
      </c>
      <c r="D55" s="13" t="s">
        <v>45</v>
      </c>
      <c r="E55" s="10" t="s">
        <v>46</v>
      </c>
      <c r="F55" s="13" t="s">
        <v>45</v>
      </c>
      <c r="G55" s="10" t="s">
        <v>47</v>
      </c>
    </row>
    <row r="56" customFormat="false" ht="23.85" hidden="false" customHeight="false" outlineLevel="0" collapsed="false">
      <c r="A56" s="10" t="s">
        <v>28</v>
      </c>
      <c r="B56" s="10" t="n">
        <v>5</v>
      </c>
      <c r="C56" s="10" t="s">
        <v>125</v>
      </c>
      <c r="D56" s="13" t="s">
        <v>45</v>
      </c>
      <c r="E56" s="10" t="s">
        <v>46</v>
      </c>
      <c r="F56" s="13" t="s">
        <v>45</v>
      </c>
      <c r="G56" s="10" t="s">
        <v>47</v>
      </c>
    </row>
    <row r="57" customFormat="false" ht="23.85" hidden="false" customHeight="false" outlineLevel="0" collapsed="false">
      <c r="A57" s="10" t="s">
        <v>28</v>
      </c>
      <c r="B57" s="10" t="n">
        <v>6</v>
      </c>
      <c r="C57" s="10" t="s">
        <v>126</v>
      </c>
      <c r="D57" s="13" t="s">
        <v>45</v>
      </c>
      <c r="E57" s="10" t="s">
        <v>46</v>
      </c>
      <c r="F57" s="13" t="s">
        <v>45</v>
      </c>
      <c r="G57" s="10" t="s">
        <v>47</v>
      </c>
    </row>
    <row r="58" customFormat="false" ht="23.85" hidden="false" customHeight="false" outlineLevel="0" collapsed="false">
      <c r="A58" s="10" t="s">
        <v>28</v>
      </c>
      <c r="B58" s="10" t="n">
        <v>7</v>
      </c>
      <c r="C58" s="10" t="s">
        <v>127</v>
      </c>
      <c r="D58" s="13" t="s">
        <v>45</v>
      </c>
      <c r="E58" s="10" t="s">
        <v>46</v>
      </c>
      <c r="F58" s="13" t="s">
        <v>45</v>
      </c>
      <c r="G58" s="10" t="s">
        <v>47</v>
      </c>
    </row>
    <row r="59" customFormat="false" ht="23.85" hidden="false" customHeight="false" outlineLevel="0" collapsed="false">
      <c r="A59" s="10" t="s">
        <v>28</v>
      </c>
      <c r="B59" s="10" t="n">
        <v>8</v>
      </c>
      <c r="C59" s="10" t="s">
        <v>128</v>
      </c>
      <c r="D59" s="11" t="s">
        <v>40</v>
      </c>
      <c r="E59" s="10" t="s">
        <v>129</v>
      </c>
      <c r="F59" s="13" t="s">
        <v>45</v>
      </c>
      <c r="G59" s="10" t="s">
        <v>47</v>
      </c>
    </row>
    <row r="60" customFormat="false" ht="23.85" hidden="false" customHeight="false" outlineLevel="0" collapsed="false">
      <c r="A60" s="10" t="s">
        <v>28</v>
      </c>
      <c r="B60" s="10" t="n">
        <v>9</v>
      </c>
      <c r="C60" s="10" t="s">
        <v>130</v>
      </c>
      <c r="D60" s="13" t="s">
        <v>45</v>
      </c>
      <c r="E60" s="10" t="s">
        <v>46</v>
      </c>
      <c r="F60" s="13" t="s">
        <v>45</v>
      </c>
      <c r="G60" s="10" t="s">
        <v>47</v>
      </c>
    </row>
    <row r="61" customFormat="false" ht="23.85" hidden="false" customHeight="false" outlineLevel="0" collapsed="false">
      <c r="A61" s="10" t="s">
        <v>28</v>
      </c>
      <c r="B61" s="10" t="n">
        <v>10</v>
      </c>
      <c r="C61" s="10" t="s">
        <v>131</v>
      </c>
      <c r="D61" s="13" t="s">
        <v>45</v>
      </c>
      <c r="E61" s="10" t="s">
        <v>46</v>
      </c>
      <c r="F61" s="13" t="s">
        <v>45</v>
      </c>
      <c r="G61" s="10" t="s">
        <v>47</v>
      </c>
    </row>
    <row r="62" customFormat="false" ht="23.85" hidden="false" customHeight="false" outlineLevel="0" collapsed="false">
      <c r="A62" s="10" t="s">
        <v>29</v>
      </c>
      <c r="B62" s="10" t="n">
        <v>1</v>
      </c>
      <c r="C62" s="10" t="s">
        <v>132</v>
      </c>
      <c r="D62" s="13" t="s">
        <v>45</v>
      </c>
      <c r="E62" s="10" t="s">
        <v>46</v>
      </c>
      <c r="F62" s="13" t="s">
        <v>45</v>
      </c>
      <c r="G62" s="10" t="s">
        <v>47</v>
      </c>
    </row>
    <row r="63" customFormat="false" ht="23.85" hidden="false" customHeight="false" outlineLevel="0" collapsed="false">
      <c r="A63" s="10" t="s">
        <v>29</v>
      </c>
      <c r="B63" s="10" t="n">
        <v>2</v>
      </c>
      <c r="C63" s="10" t="s">
        <v>133</v>
      </c>
      <c r="D63" s="13" t="s">
        <v>45</v>
      </c>
      <c r="E63" s="10" t="s">
        <v>46</v>
      </c>
      <c r="F63" s="13" t="s">
        <v>45</v>
      </c>
      <c r="G63" s="10" t="s">
        <v>47</v>
      </c>
    </row>
    <row r="64" customFormat="false" ht="23.85" hidden="false" customHeight="false" outlineLevel="0" collapsed="false">
      <c r="A64" s="10" t="s">
        <v>29</v>
      </c>
      <c r="B64" s="10" t="n">
        <v>3</v>
      </c>
      <c r="C64" s="10" t="s">
        <v>134</v>
      </c>
      <c r="D64" s="13" t="s">
        <v>45</v>
      </c>
      <c r="E64" s="10" t="s">
        <v>46</v>
      </c>
      <c r="F64" s="13" t="s">
        <v>45</v>
      </c>
      <c r="G64" s="10" t="s">
        <v>47</v>
      </c>
    </row>
    <row r="65" customFormat="false" ht="23.85" hidden="false" customHeight="false" outlineLevel="0" collapsed="false">
      <c r="A65" s="10" t="s">
        <v>29</v>
      </c>
      <c r="B65" s="10" t="n">
        <v>4</v>
      </c>
      <c r="C65" s="10" t="s">
        <v>135</v>
      </c>
      <c r="D65" s="14" t="s">
        <v>49</v>
      </c>
      <c r="E65" s="10" t="s">
        <v>136</v>
      </c>
      <c r="F65" s="12" t="s">
        <v>42</v>
      </c>
      <c r="G65" s="10" t="s">
        <v>137</v>
      </c>
    </row>
    <row r="66" customFormat="false" ht="23.85" hidden="false" customHeight="false" outlineLevel="0" collapsed="false">
      <c r="A66" s="10" t="s">
        <v>29</v>
      </c>
      <c r="B66" s="10" t="n">
        <v>5</v>
      </c>
      <c r="C66" s="10" t="s">
        <v>138</v>
      </c>
      <c r="D66" s="14" t="s">
        <v>49</v>
      </c>
      <c r="E66" s="10" t="s">
        <v>139</v>
      </c>
      <c r="F66" s="12" t="s">
        <v>42</v>
      </c>
      <c r="G66" s="10" t="s">
        <v>140</v>
      </c>
    </row>
    <row r="67" customFormat="false" ht="23.85" hidden="false" customHeight="false" outlineLevel="0" collapsed="false">
      <c r="A67" s="10" t="s">
        <v>29</v>
      </c>
      <c r="B67" s="10" t="n">
        <v>6</v>
      </c>
      <c r="C67" s="10" t="s">
        <v>141</v>
      </c>
      <c r="D67" s="13" t="s">
        <v>45</v>
      </c>
      <c r="E67" s="10" t="s">
        <v>46</v>
      </c>
      <c r="F67" s="13" t="s">
        <v>45</v>
      </c>
      <c r="G67" s="10" t="s">
        <v>47</v>
      </c>
    </row>
    <row r="68" customFormat="false" ht="23.85" hidden="false" customHeight="false" outlineLevel="0" collapsed="false">
      <c r="A68" s="10" t="s">
        <v>29</v>
      </c>
      <c r="B68" s="10" t="n">
        <v>7</v>
      </c>
      <c r="C68" s="10" t="s">
        <v>142</v>
      </c>
      <c r="D68" s="13" t="s">
        <v>45</v>
      </c>
      <c r="E68" s="10" t="s">
        <v>46</v>
      </c>
      <c r="F68" s="13" t="s">
        <v>45</v>
      </c>
      <c r="G68" s="10" t="s">
        <v>47</v>
      </c>
    </row>
    <row r="69" customFormat="false" ht="23.85" hidden="false" customHeight="false" outlineLevel="0" collapsed="false">
      <c r="A69" s="10" t="s">
        <v>29</v>
      </c>
      <c r="B69" s="10" t="n">
        <v>8</v>
      </c>
      <c r="C69" s="10" t="s">
        <v>143</v>
      </c>
      <c r="D69" s="13" t="s">
        <v>45</v>
      </c>
      <c r="E69" s="10" t="s">
        <v>46</v>
      </c>
      <c r="F69" s="13" t="s">
        <v>45</v>
      </c>
      <c r="G69" s="10" t="s">
        <v>47</v>
      </c>
    </row>
    <row r="70" customFormat="false" ht="23.85" hidden="false" customHeight="false" outlineLevel="0" collapsed="false">
      <c r="A70" s="10" t="s">
        <v>29</v>
      </c>
      <c r="B70" s="10" t="n">
        <v>9</v>
      </c>
      <c r="C70" s="10" t="s">
        <v>144</v>
      </c>
      <c r="D70" s="13" t="s">
        <v>45</v>
      </c>
      <c r="E70" s="10" t="s">
        <v>46</v>
      </c>
      <c r="F70" s="13" t="s">
        <v>45</v>
      </c>
      <c r="G70" s="10" t="s">
        <v>47</v>
      </c>
    </row>
    <row r="71" customFormat="false" ht="23.85" hidden="false" customHeight="false" outlineLevel="0" collapsed="false">
      <c r="A71" s="10" t="s">
        <v>29</v>
      </c>
      <c r="B71" s="10" t="n">
        <v>10</v>
      </c>
      <c r="C71" s="10" t="s">
        <v>145</v>
      </c>
      <c r="D71" s="13" t="s">
        <v>45</v>
      </c>
      <c r="E71" s="10" t="s">
        <v>46</v>
      </c>
      <c r="F71" s="13" t="s">
        <v>45</v>
      </c>
      <c r="G71" s="10" t="s">
        <v>47</v>
      </c>
    </row>
    <row r="72" customFormat="false" ht="23.85" hidden="false" customHeight="false" outlineLevel="0" collapsed="false">
      <c r="A72" s="10" t="s">
        <v>30</v>
      </c>
      <c r="B72" s="10" t="n">
        <v>1</v>
      </c>
      <c r="C72" s="10" t="s">
        <v>146</v>
      </c>
      <c r="D72" s="15" t="s">
        <v>147</v>
      </c>
      <c r="E72" s="10" t="s">
        <v>148</v>
      </c>
      <c r="F72" s="12" t="s">
        <v>42</v>
      </c>
      <c r="G72" s="10" t="s">
        <v>149</v>
      </c>
    </row>
    <row r="73" customFormat="false" ht="23.85" hidden="false" customHeight="false" outlineLevel="0" collapsed="false">
      <c r="A73" s="10" t="s">
        <v>30</v>
      </c>
      <c r="B73" s="10" t="n">
        <v>2</v>
      </c>
      <c r="C73" s="10" t="s">
        <v>150</v>
      </c>
      <c r="D73" s="13" t="s">
        <v>45</v>
      </c>
      <c r="E73" s="10" t="s">
        <v>46</v>
      </c>
      <c r="F73" s="13" t="s">
        <v>45</v>
      </c>
      <c r="G73" s="10" t="s">
        <v>47</v>
      </c>
    </row>
    <row r="74" customFormat="false" ht="23.85" hidden="false" customHeight="false" outlineLevel="0" collapsed="false">
      <c r="A74" s="10" t="s">
        <v>30</v>
      </c>
      <c r="B74" s="10" t="n">
        <v>3</v>
      </c>
      <c r="C74" s="10" t="s">
        <v>151</v>
      </c>
      <c r="D74" s="13" t="s">
        <v>45</v>
      </c>
      <c r="E74" s="10" t="s">
        <v>46</v>
      </c>
      <c r="F74" s="13" t="s">
        <v>45</v>
      </c>
      <c r="G74" s="10" t="s">
        <v>47</v>
      </c>
    </row>
    <row r="75" customFormat="false" ht="23.85" hidden="false" customHeight="false" outlineLevel="0" collapsed="false">
      <c r="A75" s="10" t="s">
        <v>30</v>
      </c>
      <c r="B75" s="10" t="n">
        <v>4</v>
      </c>
      <c r="C75" s="10" t="s">
        <v>152</v>
      </c>
      <c r="D75" s="13" t="s">
        <v>45</v>
      </c>
      <c r="E75" s="10" t="s">
        <v>46</v>
      </c>
      <c r="F75" s="13" t="s">
        <v>45</v>
      </c>
      <c r="G75" s="10" t="s">
        <v>47</v>
      </c>
    </row>
    <row r="76" customFormat="false" ht="23.85" hidden="false" customHeight="false" outlineLevel="0" collapsed="false">
      <c r="A76" s="10" t="s">
        <v>30</v>
      </c>
      <c r="B76" s="10" t="n">
        <v>5</v>
      </c>
      <c r="C76" s="10" t="s">
        <v>153</v>
      </c>
      <c r="D76" s="13" t="s">
        <v>45</v>
      </c>
      <c r="E76" s="10" t="s">
        <v>46</v>
      </c>
      <c r="F76" s="13" t="s">
        <v>45</v>
      </c>
      <c r="G76" s="10" t="s">
        <v>154</v>
      </c>
    </row>
    <row r="77" customFormat="false" ht="23.85" hidden="false" customHeight="false" outlineLevel="0" collapsed="false">
      <c r="A77" s="10" t="s">
        <v>30</v>
      </c>
      <c r="B77" s="10" t="n">
        <v>6</v>
      </c>
      <c r="C77" s="10" t="s">
        <v>155</v>
      </c>
      <c r="D77" s="13" t="s">
        <v>45</v>
      </c>
      <c r="E77" s="10" t="s">
        <v>46</v>
      </c>
      <c r="F77" s="13" t="s">
        <v>45</v>
      </c>
      <c r="G77" s="10" t="s">
        <v>47</v>
      </c>
    </row>
    <row r="78" customFormat="false" ht="23.85" hidden="false" customHeight="false" outlineLevel="0" collapsed="false">
      <c r="A78" s="10" t="s">
        <v>30</v>
      </c>
      <c r="B78" s="10" t="n">
        <v>7</v>
      </c>
      <c r="C78" s="10" t="s">
        <v>156</v>
      </c>
      <c r="D78" s="13" t="s">
        <v>45</v>
      </c>
      <c r="E78" s="10" t="s">
        <v>46</v>
      </c>
      <c r="F78" s="13" t="s">
        <v>45</v>
      </c>
      <c r="G78" s="10" t="s">
        <v>47</v>
      </c>
    </row>
    <row r="79" customFormat="false" ht="23.85" hidden="false" customHeight="false" outlineLevel="0" collapsed="false">
      <c r="A79" s="10" t="s">
        <v>30</v>
      </c>
      <c r="B79" s="10" t="n">
        <v>8</v>
      </c>
      <c r="C79" s="10" t="s">
        <v>157</v>
      </c>
      <c r="D79" s="13" t="s">
        <v>45</v>
      </c>
      <c r="E79" s="10" t="s">
        <v>46</v>
      </c>
      <c r="F79" s="13" t="s">
        <v>45</v>
      </c>
      <c r="G79" s="10" t="s">
        <v>47</v>
      </c>
    </row>
    <row r="80" customFormat="false" ht="23.85" hidden="false" customHeight="false" outlineLevel="0" collapsed="false">
      <c r="A80" s="10" t="s">
        <v>31</v>
      </c>
      <c r="B80" s="10" t="n">
        <v>1</v>
      </c>
      <c r="C80" s="10" t="s">
        <v>158</v>
      </c>
      <c r="D80" s="13" t="s">
        <v>45</v>
      </c>
      <c r="E80" s="10" t="s">
        <v>46</v>
      </c>
      <c r="F80" s="13" t="s">
        <v>45</v>
      </c>
      <c r="G80" s="10" t="s">
        <v>47</v>
      </c>
    </row>
    <row r="81" customFormat="false" ht="23.85" hidden="false" customHeight="false" outlineLevel="0" collapsed="false">
      <c r="A81" s="10" t="s">
        <v>31</v>
      </c>
      <c r="B81" s="10" t="n">
        <v>2</v>
      </c>
      <c r="C81" s="10" t="s">
        <v>159</v>
      </c>
      <c r="D81" s="11" t="s">
        <v>40</v>
      </c>
      <c r="E81" s="10" t="s">
        <v>160</v>
      </c>
      <c r="F81" s="13" t="s">
        <v>45</v>
      </c>
      <c r="G81" s="10" t="s">
        <v>47</v>
      </c>
    </row>
    <row r="82" customFormat="false" ht="23.85" hidden="false" customHeight="false" outlineLevel="0" collapsed="false">
      <c r="A82" s="10" t="s">
        <v>31</v>
      </c>
      <c r="B82" s="10" t="n">
        <v>3</v>
      </c>
      <c r="C82" s="10" t="s">
        <v>161</v>
      </c>
      <c r="D82" s="13" t="s">
        <v>45</v>
      </c>
      <c r="E82" s="10" t="s">
        <v>46</v>
      </c>
      <c r="F82" s="13" t="s">
        <v>45</v>
      </c>
      <c r="G82" s="10" t="s">
        <v>47</v>
      </c>
    </row>
    <row r="83" customFormat="false" ht="23.85" hidden="false" customHeight="false" outlineLevel="0" collapsed="false">
      <c r="A83" s="10" t="s">
        <v>31</v>
      </c>
      <c r="B83" s="10" t="n">
        <v>4</v>
      </c>
      <c r="C83" s="10" t="s">
        <v>162</v>
      </c>
      <c r="D83" s="13" t="s">
        <v>45</v>
      </c>
      <c r="E83" s="10" t="s">
        <v>46</v>
      </c>
      <c r="F83" s="13" t="s">
        <v>45</v>
      </c>
      <c r="G83" s="10" t="s">
        <v>47</v>
      </c>
    </row>
    <row r="84" customFormat="false" ht="23.85" hidden="false" customHeight="false" outlineLevel="0" collapsed="false">
      <c r="A84" s="10" t="s">
        <v>31</v>
      </c>
      <c r="B84" s="10" t="n">
        <v>5</v>
      </c>
      <c r="C84" s="10" t="s">
        <v>163</v>
      </c>
      <c r="D84" s="13" t="s">
        <v>45</v>
      </c>
      <c r="E84" s="10" t="s">
        <v>46</v>
      </c>
      <c r="F84" s="13" t="s">
        <v>45</v>
      </c>
      <c r="G84" s="10" t="s">
        <v>47</v>
      </c>
    </row>
    <row r="85" customFormat="false" ht="23.85" hidden="false" customHeight="false" outlineLevel="0" collapsed="false">
      <c r="A85" s="10" t="s">
        <v>31</v>
      </c>
      <c r="B85" s="10" t="n">
        <v>6</v>
      </c>
      <c r="C85" s="10" t="s">
        <v>164</v>
      </c>
      <c r="D85" s="12" t="s">
        <v>42</v>
      </c>
      <c r="E85" s="10" t="s">
        <v>165</v>
      </c>
      <c r="F85" s="11" t="s">
        <v>40</v>
      </c>
      <c r="G85" s="10" t="s">
        <v>166</v>
      </c>
    </row>
    <row r="86" customFormat="false" ht="23.85" hidden="false" customHeight="false" outlineLevel="0" collapsed="false">
      <c r="A86" s="10" t="s">
        <v>31</v>
      </c>
      <c r="B86" s="10" t="n">
        <v>7</v>
      </c>
      <c r="C86" s="10" t="s">
        <v>167</v>
      </c>
      <c r="D86" s="13" t="s">
        <v>45</v>
      </c>
      <c r="E86" s="10" t="s">
        <v>46</v>
      </c>
      <c r="F86" s="12" t="s">
        <v>42</v>
      </c>
      <c r="G86" s="10" t="s">
        <v>168</v>
      </c>
    </row>
    <row r="87" customFormat="false" ht="23.85" hidden="false" customHeight="false" outlineLevel="0" collapsed="false">
      <c r="A87" s="10" t="s">
        <v>31</v>
      </c>
      <c r="B87" s="10" t="n">
        <v>8</v>
      </c>
      <c r="C87" s="10" t="s">
        <v>169</v>
      </c>
      <c r="D87" s="13" t="s">
        <v>45</v>
      </c>
      <c r="E87" s="10" t="s">
        <v>46</v>
      </c>
      <c r="F87" s="13" t="s">
        <v>45</v>
      </c>
      <c r="G87" s="10" t="s">
        <v>47</v>
      </c>
    </row>
    <row r="88" customFormat="false" ht="23.85" hidden="false" customHeight="false" outlineLevel="0" collapsed="false">
      <c r="A88" s="10" t="s">
        <v>31</v>
      </c>
      <c r="B88" s="10" t="n">
        <v>9</v>
      </c>
      <c r="C88" s="10" t="s">
        <v>170</v>
      </c>
      <c r="D88" s="13" t="s">
        <v>45</v>
      </c>
      <c r="E88" s="10" t="s">
        <v>171</v>
      </c>
      <c r="F88" s="13" t="s">
        <v>45</v>
      </c>
      <c r="G88" s="10" t="s">
        <v>47</v>
      </c>
    </row>
    <row r="89" customFormat="false" ht="23.85" hidden="false" customHeight="false" outlineLevel="0" collapsed="false">
      <c r="A89" s="10" t="s">
        <v>31</v>
      </c>
      <c r="B89" s="10" t="n">
        <v>10</v>
      </c>
      <c r="C89" s="10" t="s">
        <v>172</v>
      </c>
      <c r="D89" s="13" t="s">
        <v>45</v>
      </c>
      <c r="E89" s="10" t="s">
        <v>46</v>
      </c>
      <c r="F89" s="13" t="s">
        <v>45</v>
      </c>
      <c r="G89" s="10" t="s">
        <v>47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2026-07-30T10:26:58Z</dcterms:created>
  <dc:creator>openpyxl</dc:creator>
  <dc:description/>
  <dc:language>en-US</dc:language>
  <cp:lastModifiedBy/>
  <dcterms:modified xsi:type="dcterms:W3CDTF">2026-07-30T10:26:58Z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